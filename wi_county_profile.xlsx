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327E8A6B-3273-4FA2-938C-D2446450050F}" xr6:coauthVersionLast="47" xr6:coauthVersionMax="47" xr10:uidLastSave="{00000000-0000-0000-0000-000000000000}"/>
  <bookViews>
    <workbookView xWindow="-25470" yWindow="1875" windowWidth="23835" windowHeight="12720" tabRatio="602" firstSheet="1" activeTab="1" xr2:uid="{00000000-000D-0000-FFFF-FFFF00000000}"/>
  </bookViews>
  <sheets>
    <sheet name="data" sheetId="1" state="hidden" r:id="rId1"/>
    <sheet name="County Profile, 2020-2024" sheetId="4" r:id="rId2"/>
  </sheets>
  <definedNames>
    <definedName name="_xlnm._FilterDatabase" localSheetId="0" hidden="1">data!$O$1:$O$76</definedName>
    <definedName name="_xlnm.Print_Area" localSheetId="1">'County Profile, 2020-2024'!$E$2:$G$279</definedName>
    <definedName name="_xlnm.Print_Titles" localSheetId="1">'County Profile, 2020-2024'!$2:$2</definedName>
    <definedName name="Selected_County">'County Profile, 2020-2024'!$B$78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R4" i="1" l="1"/>
  <c r="GP4" i="1"/>
  <c r="GL4" i="1"/>
  <c r="FG4" i="1"/>
  <c r="EY4" i="1"/>
  <c r="EV4" i="1" l="1"/>
  <c r="ED4" i="1"/>
  <c r="EF4" i="1"/>
  <c r="EH4" i="1"/>
  <c r="ED5" i="1"/>
  <c r="EF5" i="1"/>
  <c r="EH5" i="1"/>
  <c r="ED6" i="1"/>
  <c r="EF6" i="1"/>
  <c r="EH6" i="1"/>
  <c r="ED7" i="1"/>
  <c r="EF7" i="1"/>
  <c r="EH7" i="1"/>
  <c r="ED8" i="1"/>
  <c r="EF8" i="1"/>
  <c r="EH8" i="1"/>
  <c r="ED9" i="1"/>
  <c r="EF9" i="1"/>
  <c r="EH9" i="1"/>
  <c r="ED10" i="1"/>
  <c r="EF10" i="1"/>
  <c r="EH10" i="1"/>
  <c r="ED11" i="1"/>
  <c r="EF11" i="1"/>
  <c r="EH11" i="1"/>
  <c r="ED12" i="1"/>
  <c r="EF12" i="1"/>
  <c r="EH12" i="1"/>
  <c r="ED13" i="1"/>
  <c r="EF13" i="1"/>
  <c r="EH13" i="1"/>
  <c r="ED14" i="1"/>
  <c r="EF14" i="1"/>
  <c r="EH14" i="1"/>
  <c r="ED15" i="1"/>
  <c r="EF15" i="1"/>
  <c r="EH15" i="1"/>
  <c r="ED16" i="1"/>
  <c r="EF16" i="1"/>
  <c r="EH16" i="1"/>
  <c r="ED17" i="1"/>
  <c r="EF17" i="1"/>
  <c r="EH17" i="1"/>
  <c r="ED18" i="1"/>
  <c r="EF18" i="1"/>
  <c r="EH18" i="1"/>
  <c r="ED19" i="1"/>
  <c r="EF19" i="1"/>
  <c r="EH19" i="1"/>
  <c r="ED20" i="1"/>
  <c r="EF20" i="1"/>
  <c r="EH20" i="1"/>
  <c r="ED21" i="1"/>
  <c r="EF21" i="1"/>
  <c r="EH21" i="1"/>
  <c r="ED22" i="1"/>
  <c r="EF22" i="1"/>
  <c r="EH22" i="1"/>
  <c r="ED23" i="1"/>
  <c r="EF23" i="1"/>
  <c r="EH23" i="1"/>
  <c r="ED24" i="1"/>
  <c r="EF24" i="1"/>
  <c r="EH24" i="1"/>
  <c r="ED25" i="1"/>
  <c r="EF25" i="1"/>
  <c r="EH25" i="1"/>
  <c r="ED26" i="1"/>
  <c r="EF26" i="1"/>
  <c r="EH26" i="1"/>
  <c r="ED27" i="1"/>
  <c r="EF27" i="1"/>
  <c r="EH27" i="1"/>
  <c r="ED28" i="1"/>
  <c r="EF28" i="1"/>
  <c r="EH28" i="1"/>
  <c r="ED29" i="1"/>
  <c r="EF29" i="1"/>
  <c r="EH29" i="1"/>
  <c r="ED30" i="1"/>
  <c r="EF30" i="1"/>
  <c r="EH30" i="1"/>
  <c r="ED31" i="1"/>
  <c r="EF31" i="1"/>
  <c r="EH31" i="1"/>
  <c r="ED32" i="1"/>
  <c r="EF32" i="1"/>
  <c r="EH32" i="1"/>
  <c r="ED33" i="1"/>
  <c r="EF33" i="1"/>
  <c r="EH33" i="1"/>
  <c r="ED34" i="1"/>
  <c r="EF34" i="1"/>
  <c r="EH34" i="1"/>
  <c r="ED35" i="1"/>
  <c r="EF35" i="1"/>
  <c r="EH35" i="1"/>
  <c r="ED36" i="1"/>
  <c r="EF36" i="1"/>
  <c r="EH36" i="1"/>
  <c r="ED37" i="1"/>
  <c r="EF37" i="1"/>
  <c r="EH37" i="1"/>
  <c r="ED38" i="1"/>
  <c r="EF38" i="1"/>
  <c r="EH38" i="1"/>
  <c r="ED39" i="1"/>
  <c r="EF39" i="1"/>
  <c r="EH39" i="1"/>
  <c r="ED40" i="1"/>
  <c r="EF40" i="1"/>
  <c r="EH40" i="1"/>
  <c r="ED41" i="1"/>
  <c r="EF41" i="1"/>
  <c r="EH41" i="1"/>
  <c r="ED42" i="1"/>
  <c r="EF42" i="1"/>
  <c r="EH42" i="1"/>
  <c r="ED43" i="1"/>
  <c r="EF43" i="1"/>
  <c r="EH43" i="1"/>
  <c r="ED44" i="1"/>
  <c r="EF44" i="1"/>
  <c r="EH44" i="1"/>
  <c r="ED45" i="1"/>
  <c r="EF45" i="1"/>
  <c r="EH45" i="1"/>
  <c r="ED46" i="1"/>
  <c r="EF46" i="1"/>
  <c r="EH46" i="1"/>
  <c r="ED47" i="1"/>
  <c r="EF47" i="1"/>
  <c r="EH47" i="1"/>
  <c r="ED48" i="1"/>
  <c r="EF48" i="1"/>
  <c r="EH48" i="1"/>
  <c r="ED49" i="1"/>
  <c r="EF49" i="1"/>
  <c r="EH49" i="1"/>
  <c r="ED50" i="1"/>
  <c r="EF50" i="1"/>
  <c r="EH50" i="1"/>
  <c r="ED51" i="1"/>
  <c r="EF51" i="1"/>
  <c r="EH51" i="1"/>
  <c r="ED52" i="1"/>
  <c r="EF52" i="1"/>
  <c r="EH52" i="1"/>
  <c r="ED53" i="1"/>
  <c r="EF53" i="1"/>
  <c r="EH53" i="1"/>
  <c r="ED54" i="1"/>
  <c r="EF54" i="1"/>
  <c r="EH54" i="1"/>
  <c r="ED55" i="1"/>
  <c r="EF55" i="1"/>
  <c r="EH55" i="1"/>
  <c r="ED56" i="1"/>
  <c r="EF56" i="1"/>
  <c r="EH56" i="1"/>
  <c r="ED57" i="1"/>
  <c r="EF57" i="1"/>
  <c r="EH57" i="1"/>
  <c r="ED58" i="1"/>
  <c r="EF58" i="1"/>
  <c r="EH58" i="1"/>
  <c r="ED59" i="1"/>
  <c r="EF59" i="1"/>
  <c r="EH59" i="1"/>
  <c r="ED60" i="1"/>
  <c r="EF60" i="1"/>
  <c r="EH60" i="1"/>
  <c r="ED61" i="1"/>
  <c r="EF61" i="1"/>
  <c r="EH61" i="1"/>
  <c r="ED62" i="1"/>
  <c r="EF62" i="1"/>
  <c r="EH62" i="1"/>
  <c r="ED63" i="1"/>
  <c r="EF63" i="1"/>
  <c r="EH63" i="1"/>
  <c r="ED64" i="1"/>
  <c r="EF64" i="1"/>
  <c r="EH64" i="1"/>
  <c r="ED65" i="1"/>
  <c r="EF65" i="1"/>
  <c r="EH65" i="1"/>
  <c r="ED66" i="1"/>
  <c r="EF66" i="1"/>
  <c r="EH66" i="1"/>
  <c r="ED67" i="1"/>
  <c r="EF67" i="1"/>
  <c r="EH67" i="1"/>
  <c r="ED68" i="1"/>
  <c r="EF68" i="1"/>
  <c r="EH68" i="1"/>
  <c r="ED69" i="1"/>
  <c r="EF69" i="1"/>
  <c r="EH69" i="1"/>
  <c r="ED70" i="1"/>
  <c r="EF70" i="1"/>
  <c r="EH70" i="1"/>
  <c r="ED71" i="1"/>
  <c r="EF71" i="1"/>
  <c r="EH71" i="1"/>
  <c r="ED72" i="1"/>
  <c r="EF72" i="1"/>
  <c r="EH72" i="1"/>
  <c r="ED73" i="1"/>
  <c r="EF73" i="1"/>
  <c r="EH73" i="1"/>
  <c r="ED74" i="1"/>
  <c r="EF74" i="1"/>
  <c r="EH74" i="1"/>
  <c r="ED75" i="1"/>
  <c r="EF75" i="1"/>
  <c r="EH75" i="1"/>
  <c r="ED76" i="1"/>
  <c r="EF76" i="1"/>
  <c r="EH76" i="1"/>
  <c r="AH4" i="1" l="1"/>
  <c r="AC4" i="1"/>
  <c r="Y4" i="1"/>
  <c r="W4" i="1"/>
  <c r="H4" i="1" l="1"/>
  <c r="BM5" i="1"/>
  <c r="BZ4" i="1" l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EZ4" i="1" l="1"/>
  <c r="GJ4" i="1" l="1"/>
  <c r="GN4" i="1"/>
  <c r="GT4" i="1"/>
  <c r="FI4" i="1" l="1"/>
  <c r="FK4" i="1"/>
  <c r="FM4" i="1"/>
  <c r="EJ4" i="1" l="1"/>
  <c r="EL4" i="1"/>
  <c r="EN4" i="1"/>
  <c r="FA4" i="1"/>
  <c r="FB4" i="1" s="1"/>
  <c r="FE4" i="1"/>
  <c r="DV4" i="1"/>
  <c r="BH4" i="1" l="1"/>
  <c r="AA4" i="1"/>
  <c r="CP76" i="1" l="1"/>
  <c r="CP75" i="1"/>
  <c r="CP74" i="1"/>
  <c r="CP73" i="1"/>
  <c r="CP72" i="1"/>
  <c r="CP71" i="1"/>
  <c r="CP70" i="1"/>
  <c r="CP69" i="1"/>
  <c r="CP68" i="1"/>
  <c r="CP67" i="1"/>
  <c r="CP66" i="1"/>
  <c r="CP65" i="1"/>
  <c r="CP64" i="1"/>
  <c r="CP63" i="1"/>
  <c r="CP61" i="1"/>
  <c r="CP60" i="1"/>
  <c r="CP59" i="1"/>
  <c r="CP58" i="1"/>
  <c r="CP57" i="1"/>
  <c r="CP56" i="1"/>
  <c r="CP55" i="1"/>
  <c r="CP54" i="1"/>
  <c r="CP53" i="1"/>
  <c r="CP52" i="1"/>
  <c r="CP51" i="1"/>
  <c r="CP50" i="1"/>
  <c r="CP49" i="1"/>
  <c r="CP48" i="1"/>
  <c r="CP47" i="1"/>
  <c r="CP46" i="1"/>
  <c r="CP45" i="1"/>
  <c r="CP43" i="1"/>
  <c r="CP42" i="1"/>
  <c r="CP41" i="1"/>
  <c r="CP40" i="1"/>
  <c r="CP39" i="1"/>
  <c r="CP36" i="1"/>
  <c r="CP35" i="1"/>
  <c r="CP34" i="1"/>
  <c r="CP33" i="1"/>
  <c r="CP32" i="1"/>
  <c r="CP31" i="1"/>
  <c r="CP29" i="1"/>
  <c r="CP28" i="1"/>
  <c r="CP27" i="1"/>
  <c r="CP26" i="1"/>
  <c r="CP25" i="1"/>
  <c r="CP24" i="1"/>
  <c r="CP23" i="1"/>
  <c r="CP22" i="1"/>
  <c r="CP21" i="1"/>
  <c r="CP20" i="1"/>
  <c r="CP19" i="1"/>
  <c r="CP18" i="1"/>
  <c r="CP17" i="1"/>
  <c r="CP16" i="1"/>
  <c r="CP15" i="1"/>
  <c r="CP14" i="1"/>
  <c r="CP13" i="1"/>
  <c r="CP12" i="1"/>
  <c r="CP11" i="1"/>
  <c r="CP9" i="1"/>
  <c r="CP8" i="1"/>
  <c r="CP7" i="1"/>
  <c r="CP6" i="1"/>
  <c r="CQ5" i="1"/>
  <c r="CQ6" i="1"/>
  <c r="CQ7" i="1"/>
  <c r="CQ8" i="1"/>
  <c r="CQ9" i="1"/>
  <c r="CQ10" i="1"/>
  <c r="CQ11" i="1"/>
  <c r="CQ12" i="1"/>
  <c r="CQ13" i="1"/>
  <c r="CQ14" i="1"/>
  <c r="CQ15" i="1"/>
  <c r="CQ16" i="1"/>
  <c r="CQ17" i="1"/>
  <c r="CQ18" i="1"/>
  <c r="CQ19" i="1"/>
  <c r="CQ20" i="1"/>
  <c r="CQ21" i="1"/>
  <c r="CQ22" i="1"/>
  <c r="CQ23" i="1"/>
  <c r="CQ24" i="1"/>
  <c r="CQ25" i="1"/>
  <c r="CQ26" i="1"/>
  <c r="CQ27" i="1"/>
  <c r="CQ28" i="1"/>
  <c r="CQ29" i="1"/>
  <c r="CQ30" i="1"/>
  <c r="CQ31" i="1"/>
  <c r="CQ32" i="1"/>
  <c r="CQ33" i="1"/>
  <c r="CQ34" i="1"/>
  <c r="CQ35" i="1"/>
  <c r="CQ36" i="1"/>
  <c r="CQ37" i="1"/>
  <c r="CQ38" i="1"/>
  <c r="CQ39" i="1"/>
  <c r="CQ40" i="1"/>
  <c r="CQ41" i="1"/>
  <c r="CQ42" i="1"/>
  <c r="CQ43" i="1"/>
  <c r="CQ44" i="1"/>
  <c r="CQ45" i="1"/>
  <c r="CQ46" i="1"/>
  <c r="CQ47" i="1"/>
  <c r="CQ48" i="1"/>
  <c r="CQ49" i="1"/>
  <c r="CQ50" i="1"/>
  <c r="CQ51" i="1"/>
  <c r="CQ52" i="1"/>
  <c r="CQ53" i="1"/>
  <c r="CQ54" i="1"/>
  <c r="CQ55" i="1"/>
  <c r="CQ56" i="1"/>
  <c r="CQ57" i="1"/>
  <c r="CQ58" i="1"/>
  <c r="CQ59" i="1"/>
  <c r="CQ60" i="1"/>
  <c r="CQ61" i="1"/>
  <c r="CQ62" i="1"/>
  <c r="CQ63" i="1"/>
  <c r="CQ64" i="1"/>
  <c r="CQ65" i="1"/>
  <c r="CQ66" i="1"/>
  <c r="CQ67" i="1"/>
  <c r="CQ68" i="1"/>
  <c r="CQ69" i="1"/>
  <c r="CQ70" i="1"/>
  <c r="CQ71" i="1"/>
  <c r="CQ72" i="1"/>
  <c r="CQ73" i="1"/>
  <c r="CQ74" i="1"/>
  <c r="CQ75" i="1"/>
  <c r="CQ76" i="1"/>
  <c r="CI4" i="1"/>
  <c r="BI76" i="1" l="1"/>
  <c r="BH76" i="1"/>
  <c r="BI75" i="1"/>
  <c r="BH75" i="1"/>
  <c r="BI74" i="1"/>
  <c r="BH74" i="1"/>
  <c r="BI73" i="1"/>
  <c r="BH73" i="1"/>
  <c r="BI72" i="1"/>
  <c r="BH72" i="1"/>
  <c r="BI71" i="1"/>
  <c r="BH71" i="1"/>
  <c r="BI70" i="1"/>
  <c r="BH70" i="1"/>
  <c r="BI69" i="1"/>
  <c r="BH69" i="1"/>
  <c r="BI68" i="1"/>
  <c r="BH68" i="1"/>
  <c r="BI67" i="1"/>
  <c r="BH67" i="1"/>
  <c r="BI66" i="1"/>
  <c r="BH66" i="1"/>
  <c r="BI65" i="1"/>
  <c r="BH65" i="1"/>
  <c r="BI64" i="1"/>
  <c r="BH64" i="1"/>
  <c r="BI63" i="1"/>
  <c r="BH63" i="1"/>
  <c r="BI62" i="1"/>
  <c r="BH62" i="1"/>
  <c r="BI61" i="1"/>
  <c r="BH61" i="1"/>
  <c r="BI60" i="1"/>
  <c r="BH60" i="1"/>
  <c r="BI59" i="1"/>
  <c r="BH59" i="1"/>
  <c r="BI58" i="1"/>
  <c r="BH58" i="1"/>
  <c r="BI57" i="1"/>
  <c r="BH57" i="1"/>
  <c r="BI56" i="1"/>
  <c r="BH56" i="1"/>
  <c r="BI55" i="1"/>
  <c r="BH55" i="1"/>
  <c r="BI54" i="1"/>
  <c r="BH54" i="1"/>
  <c r="BI53" i="1"/>
  <c r="BH53" i="1"/>
  <c r="BI52" i="1"/>
  <c r="BH52" i="1"/>
  <c r="BI51" i="1"/>
  <c r="BH51" i="1"/>
  <c r="BI50" i="1"/>
  <c r="BH50" i="1"/>
  <c r="BI49" i="1"/>
  <c r="BH49" i="1"/>
  <c r="BI48" i="1"/>
  <c r="BH48" i="1"/>
  <c r="BI47" i="1"/>
  <c r="BH47" i="1"/>
  <c r="BI46" i="1"/>
  <c r="BH46" i="1"/>
  <c r="BI45" i="1"/>
  <c r="BH45" i="1"/>
  <c r="BI44" i="1"/>
  <c r="BH44" i="1"/>
  <c r="BI43" i="1"/>
  <c r="BH43" i="1"/>
  <c r="BI42" i="1"/>
  <c r="BH42" i="1"/>
  <c r="BI41" i="1"/>
  <c r="BH41" i="1"/>
  <c r="BI40" i="1"/>
  <c r="BH40" i="1"/>
  <c r="BI39" i="1"/>
  <c r="BH39" i="1"/>
  <c r="BI38" i="1"/>
  <c r="BH38" i="1"/>
  <c r="BI37" i="1"/>
  <c r="BH37" i="1"/>
  <c r="BI36" i="1"/>
  <c r="BH36" i="1"/>
  <c r="BI35" i="1"/>
  <c r="BH35" i="1"/>
  <c r="BI34" i="1"/>
  <c r="BH34" i="1"/>
  <c r="BI33" i="1"/>
  <c r="BH33" i="1"/>
  <c r="BI32" i="1"/>
  <c r="BH32" i="1"/>
  <c r="BI31" i="1"/>
  <c r="BH31" i="1"/>
  <c r="BI30" i="1"/>
  <c r="BH30" i="1"/>
  <c r="BI29" i="1"/>
  <c r="BH29" i="1"/>
  <c r="BI28" i="1"/>
  <c r="BH28" i="1"/>
  <c r="BI27" i="1"/>
  <c r="BH27" i="1"/>
  <c r="BI26" i="1"/>
  <c r="BH26" i="1"/>
  <c r="BI25" i="1"/>
  <c r="BH25" i="1"/>
  <c r="BI24" i="1"/>
  <c r="BH24" i="1"/>
  <c r="BI23" i="1"/>
  <c r="BH23" i="1"/>
  <c r="BI22" i="1"/>
  <c r="BH22" i="1"/>
  <c r="BI21" i="1"/>
  <c r="BH21" i="1"/>
  <c r="BI20" i="1"/>
  <c r="BH20" i="1"/>
  <c r="BI19" i="1"/>
  <c r="BH19" i="1"/>
  <c r="BI18" i="1"/>
  <c r="BH18" i="1"/>
  <c r="BI17" i="1"/>
  <c r="BH17" i="1"/>
  <c r="BI16" i="1"/>
  <c r="BH16" i="1"/>
  <c r="BI15" i="1"/>
  <c r="BH15" i="1"/>
  <c r="BI14" i="1"/>
  <c r="BH14" i="1"/>
  <c r="BI13" i="1"/>
  <c r="BH13" i="1"/>
  <c r="BI12" i="1"/>
  <c r="BH12" i="1"/>
  <c r="BI11" i="1"/>
  <c r="BH11" i="1"/>
  <c r="BI10" i="1"/>
  <c r="BH10" i="1"/>
  <c r="BI9" i="1"/>
  <c r="BH9" i="1"/>
  <c r="BI8" i="1"/>
  <c r="BH8" i="1"/>
  <c r="BI7" i="1"/>
  <c r="BH7" i="1"/>
  <c r="BI6" i="1"/>
  <c r="BH6" i="1"/>
  <c r="BI5" i="1"/>
  <c r="BH5" i="1"/>
  <c r="BI4" i="1"/>
  <c r="BG76" i="1"/>
  <c r="BG75" i="1"/>
  <c r="BG74" i="1"/>
  <c r="BG73" i="1"/>
  <c r="BG72" i="1"/>
  <c r="BG71" i="1"/>
  <c r="BG70" i="1"/>
  <c r="BG69" i="1"/>
  <c r="BG68" i="1"/>
  <c r="BG67" i="1"/>
  <c r="BG66" i="1"/>
  <c r="BG65" i="1"/>
  <c r="BG64" i="1"/>
  <c r="BG63" i="1"/>
  <c r="BG62" i="1"/>
  <c r="BG61" i="1"/>
  <c r="BG60" i="1"/>
  <c r="BG59" i="1"/>
  <c r="BG58" i="1"/>
  <c r="BG57" i="1"/>
  <c r="BG56" i="1"/>
  <c r="BG55" i="1"/>
  <c r="BG54" i="1"/>
  <c r="BG53" i="1"/>
  <c r="BG52" i="1"/>
  <c r="BG51" i="1"/>
  <c r="BG50" i="1"/>
  <c r="BG49" i="1"/>
  <c r="BG48" i="1"/>
  <c r="BG47" i="1"/>
  <c r="BG46" i="1"/>
  <c r="BG45" i="1"/>
  <c r="BG44" i="1"/>
  <c r="BG43" i="1"/>
  <c r="BG42" i="1"/>
  <c r="BG41" i="1"/>
  <c r="BG40" i="1"/>
  <c r="BG39" i="1"/>
  <c r="BG38" i="1"/>
  <c r="BG37" i="1"/>
  <c r="BG36" i="1"/>
  <c r="BG35" i="1"/>
  <c r="BG34" i="1"/>
  <c r="BG33" i="1"/>
  <c r="BG32" i="1"/>
  <c r="BG31" i="1"/>
  <c r="BG30" i="1"/>
  <c r="BG29" i="1"/>
  <c r="BG28" i="1"/>
  <c r="BG27" i="1"/>
  <c r="BG26" i="1"/>
  <c r="BG25" i="1"/>
  <c r="BG24" i="1"/>
  <c r="BG23" i="1"/>
  <c r="BG22" i="1"/>
  <c r="BG21" i="1"/>
  <c r="BG20" i="1"/>
  <c r="BG19" i="1"/>
  <c r="BG18" i="1"/>
  <c r="BG17" i="1"/>
  <c r="BG16" i="1"/>
  <c r="BG15" i="1"/>
  <c r="BG14" i="1"/>
  <c r="BG13" i="1"/>
  <c r="BG12" i="1"/>
  <c r="BG11" i="1"/>
  <c r="BG10" i="1"/>
  <c r="BG9" i="1"/>
  <c r="BG8" i="1"/>
  <c r="BG7" i="1"/>
  <c r="BG6" i="1"/>
  <c r="BG5" i="1"/>
  <c r="BG4" i="1"/>
  <c r="BD76" i="1"/>
  <c r="BD75" i="1"/>
  <c r="BD74" i="1"/>
  <c r="BD73" i="1"/>
  <c r="BD72" i="1"/>
  <c r="BD71" i="1"/>
  <c r="BD70" i="1"/>
  <c r="BD69" i="1"/>
  <c r="BD68" i="1"/>
  <c r="BD67" i="1"/>
  <c r="BD66" i="1"/>
  <c r="BD65" i="1"/>
  <c r="BD64" i="1"/>
  <c r="BD63" i="1"/>
  <c r="BD62" i="1"/>
  <c r="BD61" i="1"/>
  <c r="BD60" i="1"/>
  <c r="BD59" i="1"/>
  <c r="BD58" i="1"/>
  <c r="BD57" i="1"/>
  <c r="BD56" i="1"/>
  <c r="BD55" i="1"/>
  <c r="BD54" i="1"/>
  <c r="BD53" i="1"/>
  <c r="BD52" i="1"/>
  <c r="BD51" i="1"/>
  <c r="BD50" i="1"/>
  <c r="BD49" i="1"/>
  <c r="BD48" i="1"/>
  <c r="BD47" i="1"/>
  <c r="BD46" i="1"/>
  <c r="BD45" i="1"/>
  <c r="BD44" i="1"/>
  <c r="BD43" i="1"/>
  <c r="BD42" i="1"/>
  <c r="BD41" i="1"/>
  <c r="BD40" i="1"/>
  <c r="BD39" i="1"/>
  <c r="BD38" i="1"/>
  <c r="BD37" i="1"/>
  <c r="BD36" i="1"/>
  <c r="BD35" i="1"/>
  <c r="BD34" i="1"/>
  <c r="BD33" i="1"/>
  <c r="BD32" i="1"/>
  <c r="BD31" i="1"/>
  <c r="BD30" i="1"/>
  <c r="BD29" i="1"/>
  <c r="BD28" i="1"/>
  <c r="BD27" i="1"/>
  <c r="BD26" i="1"/>
  <c r="BD25" i="1"/>
  <c r="BD24" i="1"/>
  <c r="BD23" i="1"/>
  <c r="BD22" i="1"/>
  <c r="BD21" i="1"/>
  <c r="BD20" i="1"/>
  <c r="BD19" i="1"/>
  <c r="BD18" i="1"/>
  <c r="BD17" i="1"/>
  <c r="BD16" i="1"/>
  <c r="BD15" i="1"/>
  <c r="BD14" i="1"/>
  <c r="BD13" i="1"/>
  <c r="BD12" i="1"/>
  <c r="BD11" i="1"/>
  <c r="BD10" i="1"/>
  <c r="BD9" i="1"/>
  <c r="BD8" i="1"/>
  <c r="BD7" i="1"/>
  <c r="BD6" i="1"/>
  <c r="BD5" i="1"/>
  <c r="BD4" i="1"/>
  <c r="BJ24" i="1" l="1"/>
  <c r="BJ26" i="1"/>
  <c r="BJ32" i="1"/>
  <c r="BJ10" i="1"/>
  <c r="BJ34" i="1"/>
  <c r="BJ7" i="1"/>
  <c r="BJ23" i="1"/>
  <c r="BJ39" i="1"/>
  <c r="BJ55" i="1"/>
  <c r="BJ57" i="1"/>
  <c r="BJ59" i="1"/>
  <c r="BJ65" i="1"/>
  <c r="BJ67" i="1"/>
  <c r="BJ71" i="1"/>
  <c r="BJ15" i="1"/>
  <c r="BJ31" i="1"/>
  <c r="BJ47" i="1"/>
  <c r="BJ11" i="1"/>
  <c r="BJ19" i="1"/>
  <c r="BJ40" i="1"/>
  <c r="BJ48" i="1"/>
  <c r="BJ75" i="1"/>
  <c r="BJ4" i="1"/>
  <c r="BJ25" i="1"/>
  <c r="BJ27" i="1"/>
  <c r="BJ33" i="1"/>
  <c r="BJ35" i="1"/>
  <c r="BJ56" i="1"/>
  <c r="BJ58" i="1"/>
  <c r="BJ64" i="1"/>
  <c r="BJ66" i="1"/>
  <c r="BJ9" i="1"/>
  <c r="BJ17" i="1"/>
  <c r="BJ42" i="1"/>
  <c r="BJ50" i="1"/>
  <c r="BJ73" i="1"/>
  <c r="BJ16" i="1"/>
  <c r="BJ18" i="1"/>
  <c r="BJ41" i="1"/>
  <c r="BJ43" i="1"/>
  <c r="BJ49" i="1"/>
  <c r="BJ51" i="1"/>
  <c r="BJ63" i="1"/>
  <c r="BJ72" i="1"/>
  <c r="BJ74" i="1"/>
  <c r="BJ6" i="1"/>
  <c r="BJ8" i="1"/>
  <c r="BJ13" i="1"/>
  <c r="BJ20" i="1"/>
  <c r="BJ22" i="1"/>
  <c r="BJ29" i="1"/>
  <c r="BJ36" i="1"/>
  <c r="BJ38" i="1"/>
  <c r="BJ45" i="1"/>
  <c r="BJ52" i="1"/>
  <c r="BJ54" i="1"/>
  <c r="BJ61" i="1"/>
  <c r="BJ68" i="1"/>
  <c r="BJ70" i="1"/>
  <c r="BJ5" i="1"/>
  <c r="BJ12" i="1"/>
  <c r="BJ14" i="1"/>
  <c r="BJ21" i="1"/>
  <c r="BJ28" i="1"/>
  <c r="BJ30" i="1"/>
  <c r="BJ37" i="1"/>
  <c r="BJ44" i="1"/>
  <c r="BJ46" i="1"/>
  <c r="BJ53" i="1"/>
  <c r="BJ60" i="1"/>
  <c r="BJ62" i="1"/>
  <c r="BJ69" i="1"/>
  <c r="BJ76" i="1"/>
  <c r="J76" i="1"/>
  <c r="I76" i="1"/>
  <c r="H76" i="1"/>
  <c r="G76" i="1"/>
  <c r="J75" i="1"/>
  <c r="I75" i="1"/>
  <c r="H75" i="1"/>
  <c r="G75" i="1"/>
  <c r="J74" i="1"/>
  <c r="I74" i="1"/>
  <c r="H74" i="1"/>
  <c r="G74" i="1"/>
  <c r="J73" i="1"/>
  <c r="I73" i="1"/>
  <c r="H73" i="1"/>
  <c r="G73" i="1"/>
  <c r="J72" i="1"/>
  <c r="I72" i="1"/>
  <c r="H72" i="1"/>
  <c r="G72" i="1"/>
  <c r="J71" i="1"/>
  <c r="I71" i="1"/>
  <c r="H71" i="1"/>
  <c r="G71" i="1"/>
  <c r="J70" i="1"/>
  <c r="I70" i="1"/>
  <c r="H70" i="1"/>
  <c r="G70" i="1"/>
  <c r="J69" i="1"/>
  <c r="I69" i="1"/>
  <c r="H69" i="1"/>
  <c r="G69" i="1"/>
  <c r="J68" i="1"/>
  <c r="I68" i="1"/>
  <c r="H68" i="1"/>
  <c r="G68" i="1"/>
  <c r="J67" i="1"/>
  <c r="I67" i="1"/>
  <c r="H67" i="1"/>
  <c r="G67" i="1"/>
  <c r="J66" i="1"/>
  <c r="I66" i="1"/>
  <c r="H66" i="1"/>
  <c r="G66" i="1"/>
  <c r="J65" i="1"/>
  <c r="I65" i="1"/>
  <c r="H65" i="1"/>
  <c r="G65" i="1"/>
  <c r="J64" i="1"/>
  <c r="I64" i="1"/>
  <c r="H64" i="1"/>
  <c r="G64" i="1"/>
  <c r="J63" i="1"/>
  <c r="I63" i="1"/>
  <c r="H63" i="1"/>
  <c r="G63" i="1"/>
  <c r="J62" i="1"/>
  <c r="I62" i="1"/>
  <c r="H62" i="1"/>
  <c r="G62" i="1"/>
  <c r="J61" i="1"/>
  <c r="I61" i="1"/>
  <c r="H61" i="1"/>
  <c r="G61" i="1"/>
  <c r="J60" i="1"/>
  <c r="I60" i="1"/>
  <c r="H60" i="1"/>
  <c r="G60" i="1"/>
  <c r="J59" i="1"/>
  <c r="I59" i="1"/>
  <c r="H59" i="1"/>
  <c r="G59" i="1"/>
  <c r="J58" i="1"/>
  <c r="I58" i="1"/>
  <c r="H58" i="1"/>
  <c r="G58" i="1"/>
  <c r="J57" i="1"/>
  <c r="I57" i="1"/>
  <c r="H57" i="1"/>
  <c r="G57" i="1"/>
  <c r="J56" i="1"/>
  <c r="I56" i="1"/>
  <c r="H56" i="1"/>
  <c r="G56" i="1"/>
  <c r="J55" i="1"/>
  <c r="I55" i="1"/>
  <c r="H55" i="1"/>
  <c r="G55" i="1"/>
  <c r="J54" i="1"/>
  <c r="I54" i="1"/>
  <c r="H54" i="1"/>
  <c r="G54" i="1"/>
  <c r="J53" i="1"/>
  <c r="I53" i="1"/>
  <c r="H53" i="1"/>
  <c r="G53" i="1"/>
  <c r="J52" i="1"/>
  <c r="I52" i="1"/>
  <c r="H52" i="1"/>
  <c r="G52" i="1"/>
  <c r="J51" i="1"/>
  <c r="I51" i="1"/>
  <c r="H51" i="1"/>
  <c r="G51" i="1"/>
  <c r="J50" i="1"/>
  <c r="I50" i="1"/>
  <c r="H50" i="1"/>
  <c r="G50" i="1"/>
  <c r="J49" i="1"/>
  <c r="I49" i="1"/>
  <c r="H49" i="1"/>
  <c r="G49" i="1"/>
  <c r="J48" i="1"/>
  <c r="I48" i="1"/>
  <c r="H48" i="1"/>
  <c r="G48" i="1"/>
  <c r="J47" i="1"/>
  <c r="I47" i="1"/>
  <c r="H47" i="1"/>
  <c r="G47" i="1"/>
  <c r="J46" i="1"/>
  <c r="I46" i="1"/>
  <c r="H46" i="1"/>
  <c r="G46" i="1"/>
  <c r="J45" i="1"/>
  <c r="I45" i="1"/>
  <c r="H45" i="1"/>
  <c r="G45" i="1"/>
  <c r="J44" i="1"/>
  <c r="I44" i="1"/>
  <c r="H44" i="1"/>
  <c r="G44" i="1"/>
  <c r="J43" i="1"/>
  <c r="I43" i="1"/>
  <c r="H43" i="1"/>
  <c r="G43" i="1"/>
  <c r="J42" i="1"/>
  <c r="I42" i="1"/>
  <c r="H42" i="1"/>
  <c r="G42" i="1"/>
  <c r="J41" i="1"/>
  <c r="I41" i="1"/>
  <c r="H41" i="1"/>
  <c r="G41" i="1"/>
  <c r="J40" i="1"/>
  <c r="I40" i="1"/>
  <c r="H40" i="1"/>
  <c r="G40" i="1"/>
  <c r="J39" i="1"/>
  <c r="I39" i="1"/>
  <c r="H39" i="1"/>
  <c r="G39" i="1"/>
  <c r="J38" i="1"/>
  <c r="I38" i="1"/>
  <c r="H38" i="1"/>
  <c r="G38" i="1"/>
  <c r="J37" i="1"/>
  <c r="I37" i="1"/>
  <c r="H37" i="1"/>
  <c r="G37" i="1"/>
  <c r="J36" i="1"/>
  <c r="I36" i="1"/>
  <c r="H36" i="1"/>
  <c r="G36" i="1"/>
  <c r="J35" i="1"/>
  <c r="I35" i="1"/>
  <c r="H35" i="1"/>
  <c r="G35" i="1"/>
  <c r="J34" i="1"/>
  <c r="I34" i="1"/>
  <c r="H34" i="1"/>
  <c r="G34" i="1"/>
  <c r="J33" i="1"/>
  <c r="I33" i="1"/>
  <c r="H33" i="1"/>
  <c r="G33" i="1"/>
  <c r="J32" i="1"/>
  <c r="I32" i="1"/>
  <c r="H32" i="1"/>
  <c r="G32" i="1"/>
  <c r="J31" i="1"/>
  <c r="I31" i="1"/>
  <c r="H31" i="1"/>
  <c r="G31" i="1"/>
  <c r="J30" i="1"/>
  <c r="I30" i="1"/>
  <c r="H30" i="1"/>
  <c r="G30" i="1"/>
  <c r="J29" i="1"/>
  <c r="I29" i="1"/>
  <c r="H29" i="1"/>
  <c r="G29" i="1"/>
  <c r="J28" i="1"/>
  <c r="I28" i="1"/>
  <c r="H28" i="1"/>
  <c r="G28" i="1"/>
  <c r="J27" i="1"/>
  <c r="I27" i="1"/>
  <c r="H27" i="1"/>
  <c r="G27" i="1"/>
  <c r="J26" i="1"/>
  <c r="I26" i="1"/>
  <c r="H26" i="1"/>
  <c r="G26" i="1"/>
  <c r="J25" i="1"/>
  <c r="I25" i="1"/>
  <c r="H25" i="1"/>
  <c r="G25" i="1"/>
  <c r="J24" i="1"/>
  <c r="I24" i="1"/>
  <c r="H24" i="1"/>
  <c r="G24" i="1"/>
  <c r="J23" i="1"/>
  <c r="I23" i="1"/>
  <c r="H23" i="1"/>
  <c r="G23" i="1"/>
  <c r="J22" i="1"/>
  <c r="I22" i="1"/>
  <c r="H22" i="1"/>
  <c r="G22" i="1"/>
  <c r="J21" i="1"/>
  <c r="I21" i="1"/>
  <c r="H21" i="1"/>
  <c r="G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J8" i="1"/>
  <c r="I8" i="1"/>
  <c r="H8" i="1"/>
  <c r="G8" i="1"/>
  <c r="J7" i="1"/>
  <c r="I7" i="1"/>
  <c r="H7" i="1"/>
  <c r="G7" i="1"/>
  <c r="J6" i="1"/>
  <c r="I6" i="1"/>
  <c r="H6" i="1"/>
  <c r="G6" i="1"/>
  <c r="J5" i="1"/>
  <c r="I5" i="1"/>
  <c r="H5" i="1"/>
  <c r="G5" i="1"/>
  <c r="J4" i="1"/>
  <c r="I4" i="1"/>
  <c r="G4" i="1"/>
  <c r="GL75" i="1" l="1"/>
  <c r="DT4" i="1" l="1"/>
  <c r="BP4" i="1"/>
  <c r="R4" i="1" l="1"/>
  <c r="L4" i="1"/>
  <c r="N4" i="1"/>
  <c r="L5" i="1"/>
  <c r="N5" i="1"/>
  <c r="L6" i="1"/>
  <c r="N6" i="1"/>
  <c r="L7" i="1"/>
  <c r="N7" i="1"/>
  <c r="L8" i="1"/>
  <c r="N8" i="1"/>
  <c r="L9" i="1"/>
  <c r="N9" i="1"/>
  <c r="L10" i="1"/>
  <c r="N10" i="1"/>
  <c r="L11" i="1"/>
  <c r="N11" i="1"/>
  <c r="L12" i="1"/>
  <c r="N12" i="1"/>
  <c r="L13" i="1"/>
  <c r="N13" i="1"/>
  <c r="L14" i="1"/>
  <c r="N14" i="1"/>
  <c r="L15" i="1"/>
  <c r="N15" i="1"/>
  <c r="L16" i="1"/>
  <c r="N16" i="1"/>
  <c r="L17" i="1"/>
  <c r="N17" i="1"/>
  <c r="L18" i="1"/>
  <c r="N18" i="1"/>
  <c r="L19" i="1"/>
  <c r="N19" i="1"/>
  <c r="L20" i="1"/>
  <c r="N20" i="1"/>
  <c r="L21" i="1"/>
  <c r="N21" i="1"/>
  <c r="L22" i="1"/>
  <c r="N22" i="1"/>
  <c r="L23" i="1"/>
  <c r="N23" i="1"/>
  <c r="L24" i="1"/>
  <c r="N24" i="1"/>
  <c r="L25" i="1"/>
  <c r="N25" i="1"/>
  <c r="L26" i="1"/>
  <c r="N26" i="1"/>
  <c r="L27" i="1"/>
  <c r="N27" i="1"/>
  <c r="L28" i="1"/>
  <c r="N28" i="1"/>
  <c r="L29" i="1"/>
  <c r="N29" i="1"/>
  <c r="L30" i="1"/>
  <c r="N30" i="1"/>
  <c r="L31" i="1"/>
  <c r="N31" i="1"/>
  <c r="L32" i="1"/>
  <c r="N32" i="1"/>
  <c r="L33" i="1"/>
  <c r="N33" i="1"/>
  <c r="L34" i="1"/>
  <c r="N34" i="1"/>
  <c r="L35" i="1"/>
  <c r="N35" i="1"/>
  <c r="L36" i="1"/>
  <c r="N36" i="1"/>
  <c r="L37" i="1"/>
  <c r="N37" i="1"/>
  <c r="L38" i="1"/>
  <c r="N38" i="1"/>
  <c r="L39" i="1"/>
  <c r="N39" i="1"/>
  <c r="L40" i="1"/>
  <c r="N40" i="1"/>
  <c r="L41" i="1"/>
  <c r="N41" i="1"/>
  <c r="L42" i="1"/>
  <c r="N42" i="1"/>
  <c r="L43" i="1"/>
  <c r="N43" i="1"/>
  <c r="L44" i="1"/>
  <c r="N44" i="1"/>
  <c r="L45" i="1"/>
  <c r="N45" i="1"/>
  <c r="L46" i="1"/>
  <c r="N46" i="1"/>
  <c r="L47" i="1"/>
  <c r="N47" i="1"/>
  <c r="L48" i="1"/>
  <c r="N48" i="1"/>
  <c r="L49" i="1"/>
  <c r="N49" i="1"/>
  <c r="L50" i="1"/>
  <c r="N50" i="1"/>
  <c r="L51" i="1"/>
  <c r="N51" i="1"/>
  <c r="L52" i="1"/>
  <c r="N52" i="1"/>
  <c r="L53" i="1"/>
  <c r="N53" i="1"/>
  <c r="L54" i="1"/>
  <c r="N54" i="1"/>
  <c r="L55" i="1"/>
  <c r="N55" i="1"/>
  <c r="L56" i="1"/>
  <c r="N56" i="1"/>
  <c r="L57" i="1"/>
  <c r="N57" i="1"/>
  <c r="L58" i="1"/>
  <c r="N58" i="1"/>
  <c r="L59" i="1"/>
  <c r="N59" i="1"/>
  <c r="L60" i="1"/>
  <c r="N60" i="1"/>
  <c r="L61" i="1"/>
  <c r="N61" i="1"/>
  <c r="L62" i="1"/>
  <c r="N62" i="1"/>
  <c r="L63" i="1"/>
  <c r="N63" i="1"/>
  <c r="L64" i="1"/>
  <c r="N64" i="1"/>
  <c r="L65" i="1"/>
  <c r="N65" i="1"/>
  <c r="L66" i="1"/>
  <c r="N66" i="1"/>
  <c r="L67" i="1"/>
  <c r="N67" i="1"/>
  <c r="L68" i="1"/>
  <c r="N68" i="1"/>
  <c r="L69" i="1"/>
  <c r="N69" i="1"/>
  <c r="L70" i="1"/>
  <c r="N70" i="1"/>
  <c r="L71" i="1"/>
  <c r="N71" i="1"/>
  <c r="L72" i="1"/>
  <c r="N72" i="1"/>
  <c r="L73" i="1"/>
  <c r="N73" i="1"/>
  <c r="L74" i="1"/>
  <c r="N74" i="1"/>
  <c r="L75" i="1"/>
  <c r="N75" i="1"/>
  <c r="L76" i="1"/>
  <c r="N76" i="1"/>
  <c r="CA4" i="1" l="1"/>
  <c r="DU4" i="1" l="1"/>
  <c r="CY4" i="1" l="1"/>
  <c r="GN76" i="1" l="1"/>
  <c r="GN75" i="1"/>
  <c r="GN74" i="1"/>
  <c r="GN73" i="1"/>
  <c r="GN72" i="1"/>
  <c r="GN71" i="1"/>
  <c r="GN70" i="1"/>
  <c r="GN69" i="1"/>
  <c r="GN68" i="1"/>
  <c r="GN67" i="1"/>
  <c r="GN66" i="1"/>
  <c r="GN65" i="1"/>
  <c r="GN64" i="1"/>
  <c r="GN63" i="1"/>
  <c r="GN62" i="1"/>
  <c r="GN61" i="1"/>
  <c r="GN60" i="1"/>
  <c r="GN59" i="1"/>
  <c r="GN58" i="1"/>
  <c r="GN57" i="1"/>
  <c r="GN56" i="1"/>
  <c r="GN55" i="1"/>
  <c r="GN54" i="1"/>
  <c r="GN53" i="1"/>
  <c r="GN52" i="1"/>
  <c r="GN51" i="1"/>
  <c r="GN50" i="1"/>
  <c r="GN49" i="1"/>
  <c r="GN48" i="1"/>
  <c r="GN47" i="1"/>
  <c r="GN46" i="1"/>
  <c r="GN45" i="1"/>
  <c r="GN44" i="1"/>
  <c r="GN43" i="1"/>
  <c r="GN42" i="1"/>
  <c r="GN41" i="1"/>
  <c r="GN40" i="1"/>
  <c r="GN39" i="1"/>
  <c r="GN38" i="1"/>
  <c r="GN37" i="1"/>
  <c r="GN36" i="1"/>
  <c r="GN35" i="1"/>
  <c r="GN34" i="1"/>
  <c r="GN33" i="1"/>
  <c r="GN32" i="1"/>
  <c r="GN31" i="1"/>
  <c r="GN30" i="1"/>
  <c r="GN29" i="1"/>
  <c r="GN28" i="1"/>
  <c r="GN27" i="1"/>
  <c r="GN26" i="1"/>
  <c r="GN25" i="1"/>
  <c r="GN24" i="1"/>
  <c r="GN23" i="1"/>
  <c r="GN22" i="1"/>
  <c r="GN21" i="1"/>
  <c r="GN20" i="1"/>
  <c r="GN19" i="1"/>
  <c r="GN18" i="1"/>
  <c r="GN17" i="1"/>
  <c r="GN16" i="1"/>
  <c r="GN15" i="1"/>
  <c r="GN14" i="1"/>
  <c r="GN13" i="1"/>
  <c r="GN12" i="1"/>
  <c r="GN11" i="1"/>
  <c r="GN10" i="1"/>
  <c r="GN9" i="1"/>
  <c r="GN8" i="1"/>
  <c r="GN7" i="1"/>
  <c r="GN6" i="1"/>
  <c r="GN5" i="1"/>
  <c r="GL76" i="1"/>
  <c r="GL74" i="1"/>
  <c r="GL73" i="1"/>
  <c r="GL72" i="1"/>
  <c r="GL71" i="1"/>
  <c r="GL70" i="1"/>
  <c r="GL69" i="1"/>
  <c r="GL68" i="1"/>
  <c r="GL67" i="1"/>
  <c r="GL66" i="1"/>
  <c r="GL65" i="1"/>
  <c r="GL64" i="1"/>
  <c r="GL63" i="1"/>
  <c r="GL62" i="1"/>
  <c r="GL61" i="1"/>
  <c r="GL60" i="1"/>
  <c r="GL59" i="1"/>
  <c r="GL58" i="1"/>
  <c r="GL57" i="1"/>
  <c r="GL56" i="1"/>
  <c r="GL55" i="1"/>
  <c r="GL54" i="1"/>
  <c r="GL53" i="1"/>
  <c r="GL52" i="1"/>
  <c r="GL51" i="1"/>
  <c r="GL50" i="1"/>
  <c r="GL49" i="1"/>
  <c r="GL48" i="1"/>
  <c r="GL47" i="1"/>
  <c r="GL46" i="1"/>
  <c r="GL45" i="1"/>
  <c r="GL44" i="1"/>
  <c r="GL43" i="1"/>
  <c r="GL42" i="1"/>
  <c r="GL41" i="1"/>
  <c r="GL40" i="1"/>
  <c r="GL39" i="1"/>
  <c r="GL38" i="1"/>
  <c r="GL37" i="1"/>
  <c r="GL36" i="1"/>
  <c r="GL35" i="1"/>
  <c r="GL34" i="1"/>
  <c r="GL33" i="1"/>
  <c r="GL32" i="1"/>
  <c r="GL31" i="1"/>
  <c r="GL30" i="1"/>
  <c r="GL29" i="1"/>
  <c r="GL28" i="1"/>
  <c r="GL27" i="1"/>
  <c r="GL26" i="1"/>
  <c r="GL25" i="1"/>
  <c r="GL24" i="1"/>
  <c r="GL23" i="1"/>
  <c r="GL22" i="1"/>
  <c r="GL21" i="1"/>
  <c r="GL20" i="1"/>
  <c r="GL19" i="1"/>
  <c r="GL18" i="1"/>
  <c r="GL17" i="1"/>
  <c r="GL16" i="1"/>
  <c r="GL15" i="1"/>
  <c r="GL14" i="1"/>
  <c r="GL13" i="1"/>
  <c r="GL12" i="1"/>
  <c r="GL11" i="1"/>
  <c r="GL10" i="1"/>
  <c r="GL9" i="1"/>
  <c r="GL8" i="1"/>
  <c r="GL7" i="1"/>
  <c r="GL6" i="1"/>
  <c r="GL5" i="1"/>
  <c r="GP76" i="1"/>
  <c r="GP75" i="1"/>
  <c r="GJ74" i="1"/>
  <c r="GP72" i="1"/>
  <c r="GP71" i="1"/>
  <c r="GJ70" i="1"/>
  <c r="GP68" i="1"/>
  <c r="GP67" i="1"/>
  <c r="GJ66" i="1"/>
  <c r="GP64" i="1"/>
  <c r="GP63" i="1"/>
  <c r="GJ62" i="1"/>
  <c r="GP60" i="1"/>
  <c r="GP59" i="1"/>
  <c r="GJ58" i="1"/>
  <c r="GP56" i="1"/>
  <c r="GP55" i="1"/>
  <c r="GJ54" i="1"/>
  <c r="GP52" i="1"/>
  <c r="GP51" i="1"/>
  <c r="GJ50" i="1"/>
  <c r="GP48" i="1"/>
  <c r="GP47" i="1"/>
  <c r="GJ46" i="1"/>
  <c r="GP44" i="1"/>
  <c r="GP43" i="1"/>
  <c r="GJ42" i="1"/>
  <c r="GP40" i="1"/>
  <c r="GP39" i="1"/>
  <c r="GJ38" i="1"/>
  <c r="GP36" i="1"/>
  <c r="GP35" i="1"/>
  <c r="GJ34" i="1"/>
  <c r="GP32" i="1"/>
  <c r="GP31" i="1"/>
  <c r="GJ30" i="1"/>
  <c r="GP28" i="1"/>
  <c r="GP27" i="1"/>
  <c r="GJ26" i="1"/>
  <c r="GP24" i="1"/>
  <c r="GP23" i="1"/>
  <c r="GJ22" i="1"/>
  <c r="GP20" i="1"/>
  <c r="GP19" i="1"/>
  <c r="GJ18" i="1"/>
  <c r="GP16" i="1"/>
  <c r="GP15" i="1"/>
  <c r="GJ14" i="1"/>
  <c r="GP12" i="1"/>
  <c r="GP11" i="1"/>
  <c r="GJ10" i="1"/>
  <c r="GJ9" i="1"/>
  <c r="GP8" i="1"/>
  <c r="GP7" i="1"/>
  <c r="GJ6" i="1"/>
  <c r="GJ5" i="1"/>
  <c r="GT76" i="1"/>
  <c r="GT75" i="1"/>
  <c r="GT74" i="1"/>
  <c r="GT73" i="1"/>
  <c r="GT72" i="1"/>
  <c r="GT71" i="1"/>
  <c r="GT70" i="1"/>
  <c r="GT69" i="1"/>
  <c r="GT68" i="1"/>
  <c r="GT67" i="1"/>
  <c r="GT66" i="1"/>
  <c r="GT65" i="1"/>
  <c r="GT64" i="1"/>
  <c r="GT63" i="1"/>
  <c r="GT62" i="1"/>
  <c r="GT61" i="1"/>
  <c r="GT60" i="1"/>
  <c r="GT59" i="1"/>
  <c r="GT58" i="1"/>
  <c r="GT57" i="1"/>
  <c r="GT56" i="1"/>
  <c r="GT55" i="1"/>
  <c r="GT54" i="1"/>
  <c r="GT53" i="1"/>
  <c r="GT52" i="1"/>
  <c r="GT51" i="1"/>
  <c r="GT50" i="1"/>
  <c r="GT49" i="1"/>
  <c r="GT48" i="1"/>
  <c r="GT47" i="1"/>
  <c r="GT46" i="1"/>
  <c r="GT45" i="1"/>
  <c r="GT44" i="1"/>
  <c r="GT43" i="1"/>
  <c r="GT42" i="1"/>
  <c r="GT41" i="1"/>
  <c r="GT40" i="1"/>
  <c r="GT39" i="1"/>
  <c r="GT38" i="1"/>
  <c r="GT37" i="1"/>
  <c r="GT36" i="1"/>
  <c r="GT35" i="1"/>
  <c r="GT34" i="1"/>
  <c r="GT33" i="1"/>
  <c r="GT32" i="1"/>
  <c r="GT31" i="1"/>
  <c r="GT30" i="1"/>
  <c r="GT29" i="1"/>
  <c r="GT28" i="1"/>
  <c r="GT27" i="1"/>
  <c r="GT26" i="1"/>
  <c r="GT25" i="1"/>
  <c r="GT24" i="1"/>
  <c r="GT23" i="1"/>
  <c r="GT22" i="1"/>
  <c r="GT21" i="1"/>
  <c r="GT20" i="1"/>
  <c r="GT19" i="1"/>
  <c r="GT18" i="1"/>
  <c r="GT17" i="1"/>
  <c r="GT16" i="1"/>
  <c r="GT15" i="1"/>
  <c r="GT14" i="1"/>
  <c r="GT13" i="1"/>
  <c r="GT12" i="1"/>
  <c r="GT11" i="1"/>
  <c r="GT10" i="1"/>
  <c r="GT9" i="1"/>
  <c r="GT8" i="1"/>
  <c r="GT7" i="1"/>
  <c r="GT6" i="1"/>
  <c r="GT5" i="1"/>
  <c r="GR76" i="1"/>
  <c r="GR75" i="1"/>
  <c r="GR74" i="1"/>
  <c r="GR73" i="1"/>
  <c r="GR72" i="1"/>
  <c r="GR71" i="1"/>
  <c r="GR70" i="1"/>
  <c r="GR69" i="1"/>
  <c r="GR68" i="1"/>
  <c r="GR67" i="1"/>
  <c r="GR66" i="1"/>
  <c r="GR65" i="1"/>
  <c r="GR64" i="1"/>
  <c r="GR63" i="1"/>
  <c r="GR62" i="1"/>
  <c r="GR61" i="1"/>
  <c r="GR60" i="1"/>
  <c r="GR59" i="1"/>
  <c r="GR58" i="1"/>
  <c r="GR57" i="1"/>
  <c r="GR56" i="1"/>
  <c r="GR55" i="1"/>
  <c r="GR54" i="1"/>
  <c r="GR53" i="1"/>
  <c r="GR52" i="1"/>
  <c r="GR51" i="1"/>
  <c r="GR50" i="1"/>
  <c r="GR49" i="1"/>
  <c r="GR48" i="1"/>
  <c r="GR47" i="1"/>
  <c r="GR46" i="1"/>
  <c r="GR45" i="1"/>
  <c r="GR44" i="1"/>
  <c r="GR43" i="1"/>
  <c r="GR42" i="1"/>
  <c r="GR41" i="1"/>
  <c r="GR40" i="1"/>
  <c r="GR39" i="1"/>
  <c r="GR38" i="1"/>
  <c r="GR37" i="1"/>
  <c r="GR36" i="1"/>
  <c r="GR35" i="1"/>
  <c r="GR34" i="1"/>
  <c r="GR33" i="1"/>
  <c r="GR32" i="1"/>
  <c r="GR31" i="1"/>
  <c r="GR30" i="1"/>
  <c r="GR29" i="1"/>
  <c r="GR28" i="1"/>
  <c r="GR27" i="1"/>
  <c r="GR26" i="1"/>
  <c r="GR25" i="1"/>
  <c r="GR24" i="1"/>
  <c r="GR23" i="1"/>
  <c r="GR22" i="1"/>
  <c r="GR21" i="1"/>
  <c r="GR20" i="1"/>
  <c r="GR19" i="1"/>
  <c r="GR18" i="1"/>
  <c r="GR17" i="1"/>
  <c r="GR16" i="1"/>
  <c r="GR15" i="1"/>
  <c r="GR14" i="1"/>
  <c r="GR13" i="1"/>
  <c r="GR12" i="1"/>
  <c r="GR11" i="1"/>
  <c r="GR10" i="1"/>
  <c r="GR9" i="1"/>
  <c r="GR8" i="1"/>
  <c r="GR7" i="1"/>
  <c r="GR6" i="1"/>
  <c r="GR5" i="1"/>
  <c r="GJ76" i="1" l="1"/>
  <c r="GJ28" i="1"/>
  <c r="GJ60" i="1"/>
  <c r="GJ12" i="1"/>
  <c r="GJ44" i="1"/>
  <c r="GJ31" i="1"/>
  <c r="GJ63" i="1"/>
  <c r="GJ7" i="1"/>
  <c r="GJ23" i="1"/>
  <c r="GJ39" i="1"/>
  <c r="GJ55" i="1"/>
  <c r="GJ71" i="1"/>
  <c r="GJ15" i="1"/>
  <c r="GJ47" i="1"/>
  <c r="GJ20" i="1"/>
  <c r="GJ36" i="1"/>
  <c r="GJ52" i="1"/>
  <c r="GJ68" i="1"/>
  <c r="GJ8" i="1"/>
  <c r="GJ16" i="1"/>
  <c r="GJ24" i="1"/>
  <c r="GJ32" i="1"/>
  <c r="GJ40" i="1"/>
  <c r="GJ48" i="1"/>
  <c r="GJ56" i="1"/>
  <c r="GJ64" i="1"/>
  <c r="GJ72" i="1"/>
  <c r="GJ11" i="1"/>
  <c r="GJ19" i="1"/>
  <c r="GJ27" i="1"/>
  <c r="GJ35" i="1"/>
  <c r="GJ43" i="1"/>
  <c r="GJ51" i="1"/>
  <c r="GJ59" i="1"/>
  <c r="GJ67" i="1"/>
  <c r="GJ75" i="1"/>
  <c r="GP5" i="1"/>
  <c r="GP13" i="1"/>
  <c r="GJ13" i="1"/>
  <c r="GJ17" i="1"/>
  <c r="GP17" i="1"/>
  <c r="GP25" i="1"/>
  <c r="GJ25" i="1"/>
  <c r="GJ29" i="1"/>
  <c r="GP29" i="1"/>
  <c r="GJ37" i="1"/>
  <c r="GP37" i="1"/>
  <c r="GJ41" i="1"/>
  <c r="GP41" i="1"/>
  <c r="GJ49" i="1"/>
  <c r="GP49" i="1"/>
  <c r="GJ53" i="1"/>
  <c r="GP53" i="1"/>
  <c r="GJ61" i="1"/>
  <c r="GP61" i="1"/>
  <c r="GJ65" i="1"/>
  <c r="GP65" i="1"/>
  <c r="GJ69" i="1"/>
  <c r="GP69" i="1"/>
  <c r="GP9" i="1"/>
  <c r="GJ21" i="1"/>
  <c r="GP21" i="1"/>
  <c r="GJ33" i="1"/>
  <c r="GP33" i="1"/>
  <c r="GJ45" i="1"/>
  <c r="GP45" i="1"/>
  <c r="GJ57" i="1"/>
  <c r="GP57" i="1"/>
  <c r="GP73" i="1"/>
  <c r="GJ73" i="1"/>
  <c r="GP6" i="1"/>
  <c r="GP10" i="1"/>
  <c r="GP14" i="1"/>
  <c r="GP18" i="1"/>
  <c r="GP22" i="1"/>
  <c r="GP26" i="1"/>
  <c r="GP30" i="1"/>
  <c r="GP34" i="1"/>
  <c r="GP38" i="1"/>
  <c r="GP42" i="1"/>
  <c r="GP46" i="1"/>
  <c r="GP50" i="1"/>
  <c r="GP54" i="1"/>
  <c r="GP58" i="1"/>
  <c r="GP62" i="1"/>
  <c r="GP66" i="1"/>
  <c r="GP70" i="1"/>
  <c r="GP74" i="1"/>
  <c r="FM76" i="1"/>
  <c r="FM75" i="1"/>
  <c r="FM74" i="1"/>
  <c r="FM73" i="1"/>
  <c r="FM72" i="1"/>
  <c r="FM71" i="1"/>
  <c r="FM70" i="1"/>
  <c r="FM69" i="1"/>
  <c r="FM68" i="1"/>
  <c r="FM67" i="1"/>
  <c r="FM66" i="1"/>
  <c r="FM65" i="1"/>
  <c r="FM64" i="1"/>
  <c r="FM63" i="1"/>
  <c r="FM62" i="1"/>
  <c r="FM61" i="1"/>
  <c r="FM60" i="1"/>
  <c r="FM59" i="1"/>
  <c r="FM58" i="1"/>
  <c r="FM57" i="1"/>
  <c r="FM56" i="1"/>
  <c r="FM55" i="1"/>
  <c r="FM54" i="1"/>
  <c r="FM53" i="1"/>
  <c r="FM52" i="1"/>
  <c r="FM51" i="1"/>
  <c r="FM50" i="1"/>
  <c r="FM49" i="1"/>
  <c r="FM48" i="1"/>
  <c r="FM47" i="1"/>
  <c r="FM46" i="1"/>
  <c r="FM45" i="1"/>
  <c r="FM44" i="1"/>
  <c r="FM43" i="1"/>
  <c r="FM42" i="1"/>
  <c r="FM41" i="1"/>
  <c r="FM40" i="1"/>
  <c r="FM39" i="1"/>
  <c r="FM38" i="1"/>
  <c r="FM37" i="1"/>
  <c r="FM36" i="1"/>
  <c r="FM35" i="1"/>
  <c r="FM34" i="1"/>
  <c r="FM33" i="1"/>
  <c r="FM32" i="1"/>
  <c r="FM31" i="1"/>
  <c r="FM30" i="1"/>
  <c r="FM29" i="1"/>
  <c r="FM28" i="1"/>
  <c r="FM27" i="1"/>
  <c r="FM26" i="1"/>
  <c r="FM25" i="1"/>
  <c r="FM24" i="1"/>
  <c r="FM23" i="1"/>
  <c r="FM22" i="1"/>
  <c r="FM21" i="1"/>
  <c r="FM20" i="1"/>
  <c r="FM19" i="1"/>
  <c r="FM18" i="1"/>
  <c r="FM17" i="1"/>
  <c r="FM16" i="1"/>
  <c r="FM15" i="1"/>
  <c r="FM14" i="1"/>
  <c r="FM13" i="1"/>
  <c r="FM12" i="1"/>
  <c r="FM11" i="1"/>
  <c r="FM10" i="1"/>
  <c r="FM9" i="1"/>
  <c r="FM8" i="1"/>
  <c r="FM7" i="1"/>
  <c r="FM6" i="1"/>
  <c r="FM5" i="1"/>
  <c r="FK76" i="1"/>
  <c r="FK75" i="1"/>
  <c r="FK74" i="1"/>
  <c r="FK73" i="1"/>
  <c r="FK72" i="1"/>
  <c r="FK71" i="1"/>
  <c r="FK70" i="1"/>
  <c r="FK69" i="1"/>
  <c r="FK68" i="1"/>
  <c r="FK67" i="1"/>
  <c r="FK66" i="1"/>
  <c r="FK65" i="1"/>
  <c r="FK64" i="1"/>
  <c r="FK63" i="1"/>
  <c r="FK62" i="1"/>
  <c r="FK61" i="1"/>
  <c r="FK60" i="1"/>
  <c r="FK59" i="1"/>
  <c r="FK58" i="1"/>
  <c r="FK57" i="1"/>
  <c r="FK56" i="1"/>
  <c r="FK55" i="1"/>
  <c r="FK54" i="1"/>
  <c r="FK53" i="1"/>
  <c r="FK52" i="1"/>
  <c r="FK51" i="1"/>
  <c r="FK50" i="1"/>
  <c r="FK49" i="1"/>
  <c r="FK48" i="1"/>
  <c r="FK47" i="1"/>
  <c r="FK46" i="1"/>
  <c r="FK45" i="1"/>
  <c r="FK44" i="1"/>
  <c r="FK43" i="1"/>
  <c r="FK42" i="1"/>
  <c r="FK41" i="1"/>
  <c r="FK40" i="1"/>
  <c r="FK39" i="1"/>
  <c r="FK38" i="1"/>
  <c r="FK37" i="1"/>
  <c r="FK36" i="1"/>
  <c r="FK35" i="1"/>
  <c r="FK34" i="1"/>
  <c r="FK33" i="1"/>
  <c r="FK32" i="1"/>
  <c r="FK31" i="1"/>
  <c r="FK30" i="1"/>
  <c r="FK29" i="1"/>
  <c r="FK28" i="1"/>
  <c r="FK27" i="1"/>
  <c r="FK26" i="1"/>
  <c r="FK25" i="1"/>
  <c r="FK24" i="1"/>
  <c r="FK23" i="1"/>
  <c r="FK22" i="1"/>
  <c r="FK21" i="1"/>
  <c r="FK20" i="1"/>
  <c r="FK19" i="1"/>
  <c r="FK18" i="1"/>
  <c r="FK17" i="1"/>
  <c r="FK16" i="1"/>
  <c r="FK15" i="1"/>
  <c r="FK14" i="1"/>
  <c r="FK13" i="1"/>
  <c r="FK12" i="1"/>
  <c r="FK11" i="1"/>
  <c r="FK10" i="1"/>
  <c r="FK9" i="1"/>
  <c r="FK8" i="1"/>
  <c r="FK7" i="1"/>
  <c r="FK6" i="1"/>
  <c r="FK5" i="1"/>
  <c r="FI76" i="1"/>
  <c r="FI75" i="1"/>
  <c r="FI74" i="1"/>
  <c r="FI73" i="1"/>
  <c r="FI72" i="1"/>
  <c r="FI71" i="1"/>
  <c r="FI70" i="1"/>
  <c r="FI69" i="1"/>
  <c r="FI68" i="1"/>
  <c r="FI67" i="1"/>
  <c r="FI66" i="1"/>
  <c r="FI65" i="1"/>
  <c r="FI64" i="1"/>
  <c r="FI63" i="1"/>
  <c r="FI62" i="1"/>
  <c r="FI61" i="1"/>
  <c r="FI60" i="1"/>
  <c r="FI59" i="1"/>
  <c r="FI58" i="1"/>
  <c r="FI57" i="1"/>
  <c r="FI56" i="1"/>
  <c r="FI55" i="1"/>
  <c r="FI54" i="1"/>
  <c r="FI53" i="1"/>
  <c r="FI52" i="1"/>
  <c r="FI51" i="1"/>
  <c r="FI50" i="1"/>
  <c r="FI49" i="1"/>
  <c r="FI48" i="1"/>
  <c r="FI47" i="1"/>
  <c r="FI46" i="1"/>
  <c r="FI45" i="1"/>
  <c r="FI44" i="1"/>
  <c r="FI43" i="1"/>
  <c r="FI42" i="1"/>
  <c r="FI41" i="1"/>
  <c r="FI40" i="1"/>
  <c r="FI39" i="1"/>
  <c r="FI38" i="1"/>
  <c r="FI37" i="1"/>
  <c r="FI36" i="1"/>
  <c r="FI35" i="1"/>
  <c r="FI34" i="1"/>
  <c r="FI33" i="1"/>
  <c r="FI32" i="1"/>
  <c r="FI31" i="1"/>
  <c r="FI30" i="1"/>
  <c r="FI29" i="1"/>
  <c r="FI28" i="1"/>
  <c r="FI27" i="1"/>
  <c r="FI26" i="1"/>
  <c r="FI25" i="1"/>
  <c r="FI24" i="1"/>
  <c r="FI23" i="1"/>
  <c r="FI22" i="1"/>
  <c r="FI21" i="1"/>
  <c r="FI20" i="1"/>
  <c r="FI19" i="1"/>
  <c r="FI18" i="1"/>
  <c r="FI17" i="1"/>
  <c r="FI16" i="1"/>
  <c r="FI15" i="1"/>
  <c r="FI14" i="1"/>
  <c r="FI13" i="1"/>
  <c r="FI12" i="1"/>
  <c r="FI11" i="1"/>
  <c r="FI10" i="1"/>
  <c r="FI9" i="1"/>
  <c r="FI8" i="1"/>
  <c r="FI7" i="1"/>
  <c r="FI6" i="1"/>
  <c r="FI5" i="1"/>
  <c r="FG76" i="1"/>
  <c r="FG75" i="1"/>
  <c r="FG74" i="1"/>
  <c r="FG73" i="1"/>
  <c r="FG72" i="1"/>
  <c r="FG71" i="1"/>
  <c r="FG70" i="1"/>
  <c r="FG69" i="1"/>
  <c r="FG68" i="1"/>
  <c r="FG67" i="1"/>
  <c r="FG66" i="1"/>
  <c r="FG65" i="1"/>
  <c r="FG64" i="1"/>
  <c r="FG63" i="1"/>
  <c r="FG62" i="1"/>
  <c r="FG61" i="1"/>
  <c r="FG60" i="1"/>
  <c r="FG59" i="1"/>
  <c r="FG58" i="1"/>
  <c r="FG57" i="1"/>
  <c r="FG56" i="1"/>
  <c r="FG55" i="1"/>
  <c r="FG54" i="1"/>
  <c r="FG53" i="1"/>
  <c r="FG52" i="1"/>
  <c r="FG51" i="1"/>
  <c r="FG50" i="1"/>
  <c r="FG49" i="1"/>
  <c r="FG48" i="1"/>
  <c r="FG47" i="1"/>
  <c r="FG46" i="1"/>
  <c r="FG45" i="1"/>
  <c r="FG44" i="1"/>
  <c r="FG43" i="1"/>
  <c r="FG42" i="1"/>
  <c r="FG41" i="1"/>
  <c r="FG40" i="1"/>
  <c r="FG39" i="1"/>
  <c r="FG38" i="1"/>
  <c r="FG37" i="1"/>
  <c r="FG36" i="1"/>
  <c r="FG35" i="1"/>
  <c r="FG34" i="1"/>
  <c r="FG33" i="1"/>
  <c r="FG32" i="1"/>
  <c r="FG31" i="1"/>
  <c r="FG30" i="1"/>
  <c r="FG29" i="1"/>
  <c r="FG28" i="1"/>
  <c r="FG27" i="1"/>
  <c r="FG26" i="1"/>
  <c r="FG25" i="1"/>
  <c r="FG24" i="1"/>
  <c r="FG23" i="1"/>
  <c r="FG22" i="1"/>
  <c r="FG21" i="1"/>
  <c r="FG20" i="1"/>
  <c r="FG19" i="1"/>
  <c r="FG18" i="1"/>
  <c r="FG17" i="1"/>
  <c r="FG16" i="1"/>
  <c r="FG15" i="1"/>
  <c r="FG14" i="1"/>
  <c r="FG13" i="1"/>
  <c r="FG12" i="1"/>
  <c r="FG11" i="1"/>
  <c r="FG10" i="1"/>
  <c r="FG9" i="1"/>
  <c r="FG8" i="1"/>
  <c r="FG7" i="1"/>
  <c r="FG6" i="1"/>
  <c r="FG5" i="1"/>
  <c r="FE76" i="1"/>
  <c r="FE75" i="1"/>
  <c r="FE74" i="1"/>
  <c r="FE73" i="1"/>
  <c r="FE72" i="1"/>
  <c r="FE71" i="1"/>
  <c r="FE70" i="1"/>
  <c r="FE69" i="1"/>
  <c r="FE68" i="1"/>
  <c r="FE67" i="1"/>
  <c r="FE66" i="1"/>
  <c r="FE65" i="1"/>
  <c r="FE64" i="1"/>
  <c r="FE63" i="1"/>
  <c r="FE62" i="1"/>
  <c r="FE61" i="1"/>
  <c r="FE60" i="1"/>
  <c r="FE59" i="1"/>
  <c r="FE58" i="1"/>
  <c r="FE57" i="1"/>
  <c r="FE56" i="1"/>
  <c r="FE55" i="1"/>
  <c r="FE54" i="1"/>
  <c r="FE53" i="1"/>
  <c r="FE52" i="1"/>
  <c r="FE51" i="1"/>
  <c r="FE50" i="1"/>
  <c r="FE49" i="1"/>
  <c r="FE48" i="1"/>
  <c r="FE47" i="1"/>
  <c r="FE46" i="1"/>
  <c r="FE45" i="1"/>
  <c r="FE44" i="1"/>
  <c r="FE43" i="1"/>
  <c r="FE42" i="1"/>
  <c r="FE41" i="1"/>
  <c r="FE40" i="1"/>
  <c r="FE39" i="1"/>
  <c r="FE38" i="1"/>
  <c r="FE37" i="1"/>
  <c r="FE36" i="1"/>
  <c r="FE35" i="1"/>
  <c r="FE34" i="1"/>
  <c r="FE33" i="1"/>
  <c r="FE32" i="1"/>
  <c r="FE31" i="1"/>
  <c r="FE30" i="1"/>
  <c r="FE29" i="1"/>
  <c r="FE28" i="1"/>
  <c r="FE27" i="1"/>
  <c r="FE26" i="1"/>
  <c r="FE25" i="1"/>
  <c r="FE24" i="1"/>
  <c r="FE23" i="1"/>
  <c r="FE22" i="1"/>
  <c r="FE21" i="1"/>
  <c r="FE20" i="1"/>
  <c r="FE19" i="1"/>
  <c r="FE18" i="1"/>
  <c r="FE17" i="1"/>
  <c r="FE16" i="1"/>
  <c r="FE15" i="1"/>
  <c r="FE14" i="1"/>
  <c r="FE13" i="1"/>
  <c r="FE12" i="1"/>
  <c r="FE11" i="1"/>
  <c r="FE10" i="1"/>
  <c r="FE9" i="1"/>
  <c r="FE8" i="1"/>
  <c r="FE7" i="1"/>
  <c r="FE6" i="1"/>
  <c r="FE5" i="1"/>
  <c r="EZ76" i="1"/>
  <c r="EZ75" i="1"/>
  <c r="EZ74" i="1"/>
  <c r="EZ73" i="1"/>
  <c r="EZ72" i="1"/>
  <c r="EZ71" i="1"/>
  <c r="EZ70" i="1"/>
  <c r="EZ69" i="1"/>
  <c r="EZ68" i="1"/>
  <c r="EZ67" i="1"/>
  <c r="EZ66" i="1"/>
  <c r="EZ65" i="1"/>
  <c r="EZ64" i="1"/>
  <c r="EZ63" i="1"/>
  <c r="EZ62" i="1"/>
  <c r="EZ61" i="1"/>
  <c r="EZ60" i="1"/>
  <c r="EZ59" i="1"/>
  <c r="EZ58" i="1"/>
  <c r="EZ57" i="1"/>
  <c r="EZ56" i="1"/>
  <c r="EZ55" i="1"/>
  <c r="EZ54" i="1"/>
  <c r="EZ53" i="1"/>
  <c r="EZ52" i="1"/>
  <c r="EZ51" i="1"/>
  <c r="EZ50" i="1"/>
  <c r="EZ49" i="1"/>
  <c r="EZ48" i="1"/>
  <c r="EZ47" i="1"/>
  <c r="EZ46" i="1"/>
  <c r="EZ45" i="1"/>
  <c r="EZ44" i="1"/>
  <c r="EZ43" i="1"/>
  <c r="EZ42" i="1"/>
  <c r="EZ41" i="1"/>
  <c r="EZ40" i="1"/>
  <c r="EZ39" i="1"/>
  <c r="EZ38" i="1"/>
  <c r="EZ37" i="1"/>
  <c r="EZ36" i="1"/>
  <c r="EZ35" i="1"/>
  <c r="EZ34" i="1"/>
  <c r="EZ33" i="1"/>
  <c r="EZ32" i="1"/>
  <c r="EZ31" i="1"/>
  <c r="EZ30" i="1"/>
  <c r="EZ29" i="1"/>
  <c r="EZ28" i="1"/>
  <c r="EZ27" i="1"/>
  <c r="EZ26" i="1"/>
  <c r="EZ25" i="1"/>
  <c r="EZ24" i="1"/>
  <c r="EZ23" i="1"/>
  <c r="EZ22" i="1"/>
  <c r="EZ21" i="1"/>
  <c r="EZ20" i="1"/>
  <c r="EZ19" i="1"/>
  <c r="EZ18" i="1"/>
  <c r="EZ17" i="1"/>
  <c r="EZ16" i="1"/>
  <c r="EZ15" i="1"/>
  <c r="EZ14" i="1"/>
  <c r="EZ13" i="1"/>
  <c r="EZ12" i="1"/>
  <c r="EZ11" i="1"/>
  <c r="EZ10" i="1"/>
  <c r="EZ9" i="1"/>
  <c r="EZ8" i="1"/>
  <c r="EZ7" i="1"/>
  <c r="EZ6" i="1"/>
  <c r="EZ5" i="1"/>
  <c r="FA76" i="1"/>
  <c r="FA75" i="1"/>
  <c r="FA74" i="1"/>
  <c r="FA73" i="1"/>
  <c r="FA72" i="1"/>
  <c r="FA71" i="1"/>
  <c r="FA70" i="1"/>
  <c r="FA69" i="1"/>
  <c r="FA68" i="1"/>
  <c r="FA67" i="1"/>
  <c r="FA66" i="1"/>
  <c r="FA65" i="1"/>
  <c r="FA64" i="1"/>
  <c r="FA63" i="1"/>
  <c r="FA62" i="1"/>
  <c r="FA61" i="1"/>
  <c r="FA60" i="1"/>
  <c r="FA59" i="1"/>
  <c r="FA58" i="1"/>
  <c r="FA57" i="1"/>
  <c r="FA56" i="1"/>
  <c r="FA55" i="1"/>
  <c r="FA54" i="1"/>
  <c r="FA53" i="1"/>
  <c r="FA52" i="1"/>
  <c r="FA51" i="1"/>
  <c r="FA50" i="1"/>
  <c r="FA49" i="1"/>
  <c r="FA48" i="1"/>
  <c r="FA47" i="1"/>
  <c r="FA46" i="1"/>
  <c r="FA45" i="1"/>
  <c r="FA44" i="1"/>
  <c r="FA43" i="1"/>
  <c r="FA42" i="1"/>
  <c r="FA41" i="1"/>
  <c r="FA40" i="1"/>
  <c r="FA39" i="1"/>
  <c r="FA38" i="1"/>
  <c r="FA37" i="1"/>
  <c r="FA36" i="1"/>
  <c r="FA35" i="1"/>
  <c r="FA34" i="1"/>
  <c r="FA33" i="1"/>
  <c r="FA32" i="1"/>
  <c r="FA31" i="1"/>
  <c r="FA30" i="1"/>
  <c r="FA29" i="1"/>
  <c r="FA28" i="1"/>
  <c r="FA27" i="1"/>
  <c r="FA26" i="1"/>
  <c r="FA25" i="1"/>
  <c r="FA24" i="1"/>
  <c r="FA23" i="1"/>
  <c r="FA22" i="1"/>
  <c r="FA21" i="1"/>
  <c r="FA20" i="1"/>
  <c r="FA19" i="1"/>
  <c r="FA18" i="1"/>
  <c r="FA17" i="1"/>
  <c r="FA16" i="1"/>
  <c r="FA15" i="1"/>
  <c r="FA14" i="1"/>
  <c r="FA13" i="1"/>
  <c r="FA12" i="1"/>
  <c r="FA11" i="1"/>
  <c r="FA10" i="1"/>
  <c r="FA9" i="1"/>
  <c r="FA8" i="1"/>
  <c r="FA7" i="1"/>
  <c r="FA6" i="1"/>
  <c r="FA5" i="1"/>
  <c r="EY76" i="1"/>
  <c r="EY75" i="1"/>
  <c r="EY74" i="1"/>
  <c r="EY73" i="1"/>
  <c r="EY72" i="1"/>
  <c r="EY71" i="1"/>
  <c r="EY70" i="1"/>
  <c r="EY69" i="1"/>
  <c r="EY68" i="1"/>
  <c r="EY67" i="1"/>
  <c r="EY66" i="1"/>
  <c r="EY65" i="1"/>
  <c r="EY64" i="1"/>
  <c r="EY63" i="1"/>
  <c r="EY62" i="1"/>
  <c r="EY61" i="1"/>
  <c r="EY60" i="1"/>
  <c r="EY59" i="1"/>
  <c r="EY58" i="1"/>
  <c r="EY57" i="1"/>
  <c r="EY56" i="1"/>
  <c r="EY55" i="1"/>
  <c r="EY54" i="1"/>
  <c r="EY53" i="1"/>
  <c r="EY52" i="1"/>
  <c r="EY51" i="1"/>
  <c r="EY50" i="1"/>
  <c r="EY49" i="1"/>
  <c r="EY48" i="1"/>
  <c r="EY47" i="1"/>
  <c r="EY46" i="1"/>
  <c r="EY45" i="1"/>
  <c r="EY44" i="1"/>
  <c r="EY43" i="1"/>
  <c r="EY42" i="1"/>
  <c r="EY41" i="1"/>
  <c r="EY40" i="1"/>
  <c r="EY39" i="1"/>
  <c r="EY38" i="1"/>
  <c r="EY37" i="1"/>
  <c r="EY36" i="1"/>
  <c r="EY35" i="1"/>
  <c r="EY34" i="1"/>
  <c r="EY33" i="1"/>
  <c r="EY32" i="1"/>
  <c r="EY31" i="1"/>
  <c r="EY30" i="1"/>
  <c r="EY29" i="1"/>
  <c r="EY28" i="1"/>
  <c r="EY27" i="1"/>
  <c r="EY26" i="1"/>
  <c r="EY25" i="1"/>
  <c r="EY24" i="1"/>
  <c r="EY23" i="1"/>
  <c r="EY22" i="1"/>
  <c r="EY21" i="1"/>
  <c r="EY20" i="1"/>
  <c r="EY19" i="1"/>
  <c r="EY18" i="1"/>
  <c r="EY17" i="1"/>
  <c r="EY16" i="1"/>
  <c r="EY15" i="1"/>
  <c r="EY14" i="1"/>
  <c r="EY13" i="1"/>
  <c r="EY12" i="1"/>
  <c r="EY11" i="1"/>
  <c r="EY10" i="1"/>
  <c r="EY9" i="1"/>
  <c r="EY8" i="1"/>
  <c r="EY7" i="1"/>
  <c r="EY6" i="1"/>
  <c r="EY5" i="1"/>
  <c r="EV76" i="1"/>
  <c r="EV75" i="1"/>
  <c r="EV74" i="1"/>
  <c r="EV73" i="1"/>
  <c r="EV72" i="1"/>
  <c r="EV71" i="1"/>
  <c r="EV70" i="1"/>
  <c r="EV69" i="1"/>
  <c r="EV68" i="1"/>
  <c r="EV67" i="1"/>
  <c r="EV66" i="1"/>
  <c r="EV65" i="1"/>
  <c r="EV64" i="1"/>
  <c r="EV63" i="1"/>
  <c r="EV62" i="1"/>
  <c r="EV61" i="1"/>
  <c r="EV60" i="1"/>
  <c r="EV59" i="1"/>
  <c r="EV58" i="1"/>
  <c r="EV57" i="1"/>
  <c r="EV56" i="1"/>
  <c r="EV55" i="1"/>
  <c r="EV54" i="1"/>
  <c r="EV53" i="1"/>
  <c r="EV52" i="1"/>
  <c r="EV51" i="1"/>
  <c r="EV50" i="1"/>
  <c r="EV49" i="1"/>
  <c r="EV48" i="1"/>
  <c r="EV47" i="1"/>
  <c r="EV46" i="1"/>
  <c r="EV45" i="1"/>
  <c r="EV44" i="1"/>
  <c r="EV43" i="1"/>
  <c r="EV42" i="1"/>
  <c r="EV41" i="1"/>
  <c r="EV40" i="1"/>
  <c r="EV39" i="1"/>
  <c r="EV38" i="1"/>
  <c r="EV37" i="1"/>
  <c r="EV36" i="1"/>
  <c r="EV35" i="1"/>
  <c r="EV34" i="1"/>
  <c r="EV33" i="1"/>
  <c r="EV32" i="1"/>
  <c r="EV31" i="1"/>
  <c r="EV30" i="1"/>
  <c r="EV29" i="1"/>
  <c r="EV28" i="1"/>
  <c r="EV27" i="1"/>
  <c r="EV26" i="1"/>
  <c r="EV25" i="1"/>
  <c r="EV24" i="1"/>
  <c r="EV23" i="1"/>
  <c r="EV22" i="1"/>
  <c r="EV21" i="1"/>
  <c r="EV20" i="1"/>
  <c r="EV19" i="1"/>
  <c r="EV18" i="1"/>
  <c r="EV17" i="1"/>
  <c r="EV16" i="1"/>
  <c r="EV15" i="1"/>
  <c r="EV14" i="1"/>
  <c r="EV13" i="1"/>
  <c r="EV12" i="1"/>
  <c r="EV11" i="1"/>
  <c r="EV10" i="1"/>
  <c r="EV9" i="1"/>
  <c r="EV8" i="1"/>
  <c r="EV7" i="1"/>
  <c r="EV6" i="1"/>
  <c r="EV5" i="1"/>
  <c r="EN76" i="1"/>
  <c r="EN75" i="1"/>
  <c r="EN74" i="1"/>
  <c r="EN73" i="1"/>
  <c r="EN72" i="1"/>
  <c r="EN71" i="1"/>
  <c r="EN70" i="1"/>
  <c r="EN69" i="1"/>
  <c r="EN68" i="1"/>
  <c r="EN67" i="1"/>
  <c r="EN66" i="1"/>
  <c r="EN65" i="1"/>
  <c r="EN64" i="1"/>
  <c r="EN63" i="1"/>
  <c r="EN62" i="1"/>
  <c r="EN61" i="1"/>
  <c r="EN60" i="1"/>
  <c r="EN59" i="1"/>
  <c r="EN58" i="1"/>
  <c r="EN57" i="1"/>
  <c r="EN56" i="1"/>
  <c r="EN55" i="1"/>
  <c r="EN54" i="1"/>
  <c r="EN53" i="1"/>
  <c r="EN52" i="1"/>
  <c r="EN51" i="1"/>
  <c r="EN50" i="1"/>
  <c r="EN49" i="1"/>
  <c r="EN48" i="1"/>
  <c r="EN47" i="1"/>
  <c r="EN46" i="1"/>
  <c r="EN45" i="1"/>
  <c r="EN44" i="1"/>
  <c r="EN43" i="1"/>
  <c r="EN42" i="1"/>
  <c r="EN41" i="1"/>
  <c r="EN40" i="1"/>
  <c r="EN39" i="1"/>
  <c r="EN38" i="1"/>
  <c r="EN37" i="1"/>
  <c r="EN36" i="1"/>
  <c r="EN35" i="1"/>
  <c r="EN34" i="1"/>
  <c r="EN33" i="1"/>
  <c r="EN32" i="1"/>
  <c r="EN31" i="1"/>
  <c r="EN30" i="1"/>
  <c r="EN29" i="1"/>
  <c r="EN28" i="1"/>
  <c r="EN27" i="1"/>
  <c r="EN26" i="1"/>
  <c r="EN25" i="1"/>
  <c r="EN24" i="1"/>
  <c r="EN23" i="1"/>
  <c r="EN22" i="1"/>
  <c r="EN21" i="1"/>
  <c r="EN20" i="1"/>
  <c r="EN19" i="1"/>
  <c r="EN18" i="1"/>
  <c r="EN17" i="1"/>
  <c r="EN16" i="1"/>
  <c r="EN15" i="1"/>
  <c r="EN14" i="1"/>
  <c r="EN13" i="1"/>
  <c r="EN12" i="1"/>
  <c r="EN11" i="1"/>
  <c r="EN10" i="1"/>
  <c r="EN9" i="1"/>
  <c r="EN8" i="1"/>
  <c r="EN7" i="1"/>
  <c r="EN6" i="1"/>
  <c r="EN5" i="1"/>
  <c r="EL76" i="1"/>
  <c r="EL75" i="1"/>
  <c r="EL74" i="1"/>
  <c r="EL73" i="1"/>
  <c r="EL72" i="1"/>
  <c r="EL71" i="1"/>
  <c r="EL70" i="1"/>
  <c r="EL69" i="1"/>
  <c r="EL68" i="1"/>
  <c r="EL67" i="1"/>
  <c r="EL66" i="1"/>
  <c r="EL65" i="1"/>
  <c r="EL64" i="1"/>
  <c r="EL63" i="1"/>
  <c r="EL62" i="1"/>
  <c r="EL61" i="1"/>
  <c r="EL60" i="1"/>
  <c r="EL59" i="1"/>
  <c r="EL58" i="1"/>
  <c r="EL57" i="1"/>
  <c r="EL56" i="1"/>
  <c r="EL55" i="1"/>
  <c r="EL54" i="1"/>
  <c r="EL53" i="1"/>
  <c r="EL52" i="1"/>
  <c r="EL51" i="1"/>
  <c r="EL50" i="1"/>
  <c r="EL49" i="1"/>
  <c r="EL48" i="1"/>
  <c r="EL47" i="1"/>
  <c r="EL46" i="1"/>
  <c r="EL45" i="1"/>
  <c r="EL44" i="1"/>
  <c r="EL43" i="1"/>
  <c r="EL42" i="1"/>
  <c r="EL41" i="1"/>
  <c r="EL40" i="1"/>
  <c r="EL39" i="1"/>
  <c r="EL38" i="1"/>
  <c r="EL37" i="1"/>
  <c r="EL36" i="1"/>
  <c r="EL35" i="1"/>
  <c r="EL34" i="1"/>
  <c r="EL33" i="1"/>
  <c r="EL32" i="1"/>
  <c r="EL31" i="1"/>
  <c r="EL30" i="1"/>
  <c r="EL29" i="1"/>
  <c r="EL28" i="1"/>
  <c r="EL27" i="1"/>
  <c r="EL26" i="1"/>
  <c r="EL25" i="1"/>
  <c r="EL24" i="1"/>
  <c r="EL23" i="1"/>
  <c r="EL22" i="1"/>
  <c r="EL21" i="1"/>
  <c r="EL20" i="1"/>
  <c r="EL19" i="1"/>
  <c r="EL18" i="1"/>
  <c r="EL17" i="1"/>
  <c r="EL16" i="1"/>
  <c r="EL15" i="1"/>
  <c r="EL14" i="1"/>
  <c r="EL13" i="1"/>
  <c r="EL12" i="1"/>
  <c r="EL11" i="1"/>
  <c r="EL10" i="1"/>
  <c r="EL9" i="1"/>
  <c r="EL8" i="1"/>
  <c r="EL7" i="1"/>
  <c r="EL6" i="1"/>
  <c r="EL5" i="1"/>
  <c r="EJ76" i="1"/>
  <c r="EJ75" i="1"/>
  <c r="EJ74" i="1"/>
  <c r="EJ73" i="1"/>
  <c r="EJ72" i="1"/>
  <c r="EJ71" i="1"/>
  <c r="EJ70" i="1"/>
  <c r="EJ69" i="1"/>
  <c r="EJ68" i="1"/>
  <c r="EJ67" i="1"/>
  <c r="EJ66" i="1"/>
  <c r="EJ65" i="1"/>
  <c r="EJ64" i="1"/>
  <c r="EJ63" i="1"/>
  <c r="EJ62" i="1"/>
  <c r="EJ61" i="1"/>
  <c r="EJ60" i="1"/>
  <c r="EJ59" i="1"/>
  <c r="EJ58" i="1"/>
  <c r="EJ57" i="1"/>
  <c r="EJ56" i="1"/>
  <c r="EJ55" i="1"/>
  <c r="EJ54" i="1"/>
  <c r="EJ53" i="1"/>
  <c r="EJ52" i="1"/>
  <c r="EJ51" i="1"/>
  <c r="EJ50" i="1"/>
  <c r="EJ49" i="1"/>
  <c r="EJ48" i="1"/>
  <c r="EJ47" i="1"/>
  <c r="EJ46" i="1"/>
  <c r="EJ45" i="1"/>
  <c r="EJ44" i="1"/>
  <c r="EJ43" i="1"/>
  <c r="EJ42" i="1"/>
  <c r="EJ41" i="1"/>
  <c r="EJ40" i="1"/>
  <c r="EJ39" i="1"/>
  <c r="EJ38" i="1"/>
  <c r="EJ37" i="1"/>
  <c r="EJ36" i="1"/>
  <c r="EJ35" i="1"/>
  <c r="EJ34" i="1"/>
  <c r="EJ33" i="1"/>
  <c r="EJ32" i="1"/>
  <c r="EJ31" i="1"/>
  <c r="EJ30" i="1"/>
  <c r="EJ29" i="1"/>
  <c r="EJ28" i="1"/>
  <c r="EJ27" i="1"/>
  <c r="EJ26" i="1"/>
  <c r="EJ25" i="1"/>
  <c r="EJ24" i="1"/>
  <c r="EJ23" i="1"/>
  <c r="EJ22" i="1"/>
  <c r="EJ21" i="1"/>
  <c r="EJ20" i="1"/>
  <c r="EJ19" i="1"/>
  <c r="EJ18" i="1"/>
  <c r="EJ17" i="1"/>
  <c r="EJ16" i="1"/>
  <c r="EJ15" i="1"/>
  <c r="EJ14" i="1"/>
  <c r="EJ13" i="1"/>
  <c r="EJ12" i="1"/>
  <c r="EJ11" i="1"/>
  <c r="EJ10" i="1"/>
  <c r="EJ9" i="1"/>
  <c r="EJ8" i="1"/>
  <c r="EJ7" i="1"/>
  <c r="EJ6" i="1"/>
  <c r="EJ5" i="1"/>
  <c r="FB5" i="1" l="1"/>
  <c r="FB9" i="1"/>
  <c r="FB13" i="1"/>
  <c r="FB17" i="1"/>
  <c r="FB21" i="1"/>
  <c r="FB25" i="1"/>
  <c r="FB29" i="1"/>
  <c r="FB33" i="1"/>
  <c r="FB37" i="1"/>
  <c r="FB41" i="1"/>
  <c r="FB45" i="1"/>
  <c r="FB49" i="1"/>
  <c r="FB53" i="1"/>
  <c r="FB57" i="1"/>
  <c r="FB61" i="1"/>
  <c r="FB65" i="1"/>
  <c r="FB69" i="1"/>
  <c r="FB73" i="1"/>
  <c r="FB12" i="1"/>
  <c r="FB16" i="1"/>
  <c r="FB24" i="1"/>
  <c r="FB28" i="1"/>
  <c r="FB32" i="1"/>
  <c r="FB40" i="1"/>
  <c r="FB44" i="1"/>
  <c r="FB48" i="1"/>
  <c r="FB52" i="1"/>
  <c r="FB56" i="1"/>
  <c r="FB60" i="1"/>
  <c r="FB64" i="1"/>
  <c r="FB68" i="1"/>
  <c r="FB72" i="1"/>
  <c r="FB6" i="1"/>
  <c r="FB10" i="1"/>
  <c r="FB14" i="1"/>
  <c r="FB18" i="1"/>
  <c r="FB22" i="1"/>
  <c r="FB26" i="1"/>
  <c r="FB30" i="1"/>
  <c r="FB34" i="1"/>
  <c r="FB38" i="1"/>
  <c r="FB42" i="1"/>
  <c r="FB46" i="1"/>
  <c r="FB50" i="1"/>
  <c r="FB54" i="1"/>
  <c r="FB58" i="1"/>
  <c r="FB62" i="1"/>
  <c r="FB66" i="1"/>
  <c r="FB70" i="1"/>
  <c r="FB74" i="1"/>
  <c r="FB8" i="1"/>
  <c r="FB20" i="1"/>
  <c r="FB36" i="1"/>
  <c r="FB76" i="1"/>
  <c r="FB7" i="1"/>
  <c r="FB11" i="1"/>
  <c r="FB15" i="1"/>
  <c r="FB19" i="1"/>
  <c r="FB23" i="1"/>
  <c r="FB27" i="1"/>
  <c r="FB31" i="1"/>
  <c r="FB35" i="1"/>
  <c r="FB39" i="1"/>
  <c r="FB43" i="1"/>
  <c r="FB47" i="1"/>
  <c r="FB51" i="1"/>
  <c r="FB55" i="1"/>
  <c r="FB59" i="1"/>
  <c r="FB63" i="1"/>
  <c r="FB67" i="1"/>
  <c r="FB71" i="1"/>
  <c r="FB75" i="1"/>
  <c r="DX76" i="1"/>
  <c r="DW76" i="1"/>
  <c r="DV76" i="1"/>
  <c r="DU76" i="1"/>
  <c r="DT76" i="1"/>
  <c r="DX75" i="1"/>
  <c r="DW75" i="1"/>
  <c r="DV75" i="1"/>
  <c r="DU75" i="1"/>
  <c r="DT75" i="1"/>
  <c r="DX74" i="1"/>
  <c r="DW74" i="1"/>
  <c r="DV74" i="1"/>
  <c r="DU74" i="1"/>
  <c r="DT74" i="1"/>
  <c r="DX73" i="1"/>
  <c r="DW73" i="1"/>
  <c r="DV73" i="1"/>
  <c r="DU73" i="1"/>
  <c r="DT73" i="1"/>
  <c r="DX72" i="1"/>
  <c r="DW72" i="1"/>
  <c r="DV72" i="1"/>
  <c r="DU72" i="1"/>
  <c r="DT72" i="1"/>
  <c r="DX71" i="1"/>
  <c r="DW71" i="1"/>
  <c r="DV71" i="1"/>
  <c r="DU71" i="1"/>
  <c r="DT71" i="1"/>
  <c r="DX70" i="1"/>
  <c r="DW70" i="1"/>
  <c r="DV70" i="1"/>
  <c r="DU70" i="1"/>
  <c r="DT70" i="1"/>
  <c r="DX69" i="1"/>
  <c r="DW69" i="1"/>
  <c r="DV69" i="1"/>
  <c r="DU69" i="1"/>
  <c r="DT69" i="1"/>
  <c r="DX68" i="1"/>
  <c r="DW68" i="1"/>
  <c r="DV68" i="1"/>
  <c r="DU68" i="1"/>
  <c r="DT68" i="1"/>
  <c r="DX67" i="1"/>
  <c r="DW67" i="1"/>
  <c r="DV67" i="1"/>
  <c r="DU67" i="1"/>
  <c r="DT67" i="1"/>
  <c r="DX66" i="1"/>
  <c r="DW66" i="1"/>
  <c r="DV66" i="1"/>
  <c r="DU66" i="1"/>
  <c r="DT66" i="1"/>
  <c r="DX65" i="1"/>
  <c r="DW65" i="1"/>
  <c r="DV65" i="1"/>
  <c r="DU65" i="1"/>
  <c r="DT65" i="1"/>
  <c r="DX64" i="1"/>
  <c r="DW64" i="1"/>
  <c r="DV64" i="1"/>
  <c r="DU64" i="1"/>
  <c r="DT64" i="1"/>
  <c r="DX63" i="1"/>
  <c r="DW63" i="1"/>
  <c r="DV63" i="1"/>
  <c r="DU63" i="1"/>
  <c r="DT63" i="1"/>
  <c r="DX62" i="1"/>
  <c r="DW62" i="1"/>
  <c r="DV62" i="1"/>
  <c r="DU62" i="1"/>
  <c r="DT62" i="1"/>
  <c r="DX61" i="1"/>
  <c r="DW61" i="1"/>
  <c r="DV61" i="1"/>
  <c r="DU61" i="1"/>
  <c r="DT61" i="1"/>
  <c r="DX60" i="1"/>
  <c r="DW60" i="1"/>
  <c r="DV60" i="1"/>
  <c r="DU60" i="1"/>
  <c r="DT60" i="1"/>
  <c r="DX59" i="1"/>
  <c r="DW59" i="1"/>
  <c r="DV59" i="1"/>
  <c r="DU59" i="1"/>
  <c r="DT59" i="1"/>
  <c r="DX58" i="1"/>
  <c r="DW58" i="1"/>
  <c r="DV58" i="1"/>
  <c r="DU58" i="1"/>
  <c r="DT58" i="1"/>
  <c r="DX57" i="1"/>
  <c r="DW57" i="1"/>
  <c r="DV57" i="1"/>
  <c r="DU57" i="1"/>
  <c r="DT57" i="1"/>
  <c r="DX56" i="1"/>
  <c r="DW56" i="1"/>
  <c r="DV56" i="1"/>
  <c r="DU56" i="1"/>
  <c r="DT56" i="1"/>
  <c r="DX55" i="1"/>
  <c r="DW55" i="1"/>
  <c r="DV55" i="1"/>
  <c r="DU55" i="1"/>
  <c r="DT55" i="1"/>
  <c r="DX54" i="1"/>
  <c r="DW54" i="1"/>
  <c r="DV54" i="1"/>
  <c r="DU54" i="1"/>
  <c r="DT54" i="1"/>
  <c r="DX53" i="1"/>
  <c r="DW53" i="1"/>
  <c r="DV53" i="1"/>
  <c r="DU53" i="1"/>
  <c r="DT53" i="1"/>
  <c r="DX52" i="1"/>
  <c r="DW52" i="1"/>
  <c r="DV52" i="1"/>
  <c r="DU52" i="1"/>
  <c r="DT52" i="1"/>
  <c r="DX51" i="1"/>
  <c r="DW51" i="1"/>
  <c r="DV51" i="1"/>
  <c r="DU51" i="1"/>
  <c r="DT51" i="1"/>
  <c r="DX50" i="1"/>
  <c r="DW50" i="1"/>
  <c r="DV50" i="1"/>
  <c r="DU50" i="1"/>
  <c r="DT50" i="1"/>
  <c r="DX49" i="1"/>
  <c r="DW49" i="1"/>
  <c r="DV49" i="1"/>
  <c r="DU49" i="1"/>
  <c r="DT49" i="1"/>
  <c r="DX48" i="1"/>
  <c r="DW48" i="1"/>
  <c r="DV48" i="1"/>
  <c r="DU48" i="1"/>
  <c r="DT48" i="1"/>
  <c r="DX47" i="1"/>
  <c r="DW47" i="1"/>
  <c r="DV47" i="1"/>
  <c r="DU47" i="1"/>
  <c r="DT47" i="1"/>
  <c r="DX46" i="1"/>
  <c r="DW46" i="1"/>
  <c r="DV46" i="1"/>
  <c r="DU46" i="1"/>
  <c r="DT46" i="1"/>
  <c r="DX45" i="1"/>
  <c r="DW45" i="1"/>
  <c r="DV45" i="1"/>
  <c r="DU45" i="1"/>
  <c r="DT45" i="1"/>
  <c r="DX44" i="1"/>
  <c r="DW44" i="1"/>
  <c r="DV44" i="1"/>
  <c r="DU44" i="1"/>
  <c r="DT44" i="1"/>
  <c r="DX43" i="1"/>
  <c r="DW43" i="1"/>
  <c r="DV43" i="1"/>
  <c r="DU43" i="1"/>
  <c r="DT43" i="1"/>
  <c r="DX42" i="1"/>
  <c r="DW42" i="1"/>
  <c r="DV42" i="1"/>
  <c r="DU42" i="1"/>
  <c r="DT42" i="1"/>
  <c r="DX41" i="1"/>
  <c r="DW41" i="1"/>
  <c r="DV41" i="1"/>
  <c r="DU41" i="1"/>
  <c r="DT41" i="1"/>
  <c r="DX40" i="1"/>
  <c r="DW40" i="1"/>
  <c r="DV40" i="1"/>
  <c r="DU40" i="1"/>
  <c r="DT40" i="1"/>
  <c r="DX39" i="1"/>
  <c r="DW39" i="1"/>
  <c r="DV39" i="1"/>
  <c r="DU39" i="1"/>
  <c r="DT39" i="1"/>
  <c r="DX38" i="1"/>
  <c r="DW38" i="1"/>
  <c r="DV38" i="1"/>
  <c r="DU38" i="1"/>
  <c r="DT38" i="1"/>
  <c r="DX37" i="1"/>
  <c r="DW37" i="1"/>
  <c r="DV37" i="1"/>
  <c r="DU37" i="1"/>
  <c r="DT37" i="1"/>
  <c r="DX36" i="1"/>
  <c r="DW36" i="1"/>
  <c r="DV36" i="1"/>
  <c r="DU36" i="1"/>
  <c r="DT36" i="1"/>
  <c r="DX35" i="1"/>
  <c r="DW35" i="1"/>
  <c r="DV35" i="1"/>
  <c r="DU35" i="1"/>
  <c r="DT35" i="1"/>
  <c r="DX34" i="1"/>
  <c r="DW34" i="1"/>
  <c r="DV34" i="1"/>
  <c r="DU34" i="1"/>
  <c r="DT34" i="1"/>
  <c r="DX33" i="1"/>
  <c r="DW33" i="1"/>
  <c r="DV33" i="1"/>
  <c r="DU33" i="1"/>
  <c r="DT33" i="1"/>
  <c r="DX32" i="1"/>
  <c r="DW32" i="1"/>
  <c r="DV32" i="1"/>
  <c r="DU32" i="1"/>
  <c r="DT32" i="1"/>
  <c r="DX31" i="1"/>
  <c r="DW31" i="1"/>
  <c r="DV31" i="1"/>
  <c r="DU31" i="1"/>
  <c r="DT31" i="1"/>
  <c r="DX30" i="1"/>
  <c r="DW30" i="1"/>
  <c r="DV30" i="1"/>
  <c r="DU30" i="1"/>
  <c r="DT30" i="1"/>
  <c r="DX29" i="1"/>
  <c r="DW29" i="1"/>
  <c r="DV29" i="1"/>
  <c r="DU29" i="1"/>
  <c r="DT29" i="1"/>
  <c r="DX28" i="1"/>
  <c r="DW28" i="1"/>
  <c r="DV28" i="1"/>
  <c r="DU28" i="1"/>
  <c r="DT28" i="1"/>
  <c r="DX27" i="1"/>
  <c r="DW27" i="1"/>
  <c r="DV27" i="1"/>
  <c r="DU27" i="1"/>
  <c r="DT27" i="1"/>
  <c r="DX26" i="1"/>
  <c r="DW26" i="1"/>
  <c r="DV26" i="1"/>
  <c r="DU26" i="1"/>
  <c r="DT26" i="1"/>
  <c r="DX25" i="1"/>
  <c r="DW25" i="1"/>
  <c r="DV25" i="1"/>
  <c r="DU25" i="1"/>
  <c r="DT25" i="1"/>
  <c r="DX24" i="1"/>
  <c r="DW24" i="1"/>
  <c r="DV24" i="1"/>
  <c r="DU24" i="1"/>
  <c r="DT24" i="1"/>
  <c r="DX23" i="1"/>
  <c r="DW23" i="1"/>
  <c r="DV23" i="1"/>
  <c r="DU23" i="1"/>
  <c r="DT23" i="1"/>
  <c r="DX22" i="1"/>
  <c r="DW22" i="1"/>
  <c r="DV22" i="1"/>
  <c r="DU22" i="1"/>
  <c r="DT22" i="1"/>
  <c r="DX21" i="1"/>
  <c r="DW21" i="1"/>
  <c r="DV21" i="1"/>
  <c r="DU21" i="1"/>
  <c r="DT21" i="1"/>
  <c r="DX20" i="1"/>
  <c r="DW20" i="1"/>
  <c r="DV20" i="1"/>
  <c r="DU20" i="1"/>
  <c r="DT20" i="1"/>
  <c r="DX19" i="1"/>
  <c r="DW19" i="1"/>
  <c r="DV19" i="1"/>
  <c r="DU19" i="1"/>
  <c r="DT19" i="1"/>
  <c r="DX18" i="1"/>
  <c r="DW18" i="1"/>
  <c r="DV18" i="1"/>
  <c r="DU18" i="1"/>
  <c r="DT18" i="1"/>
  <c r="DX17" i="1"/>
  <c r="DW17" i="1"/>
  <c r="DV17" i="1"/>
  <c r="DU17" i="1"/>
  <c r="DT17" i="1"/>
  <c r="DX16" i="1"/>
  <c r="DW16" i="1"/>
  <c r="DV16" i="1"/>
  <c r="DU16" i="1"/>
  <c r="DT16" i="1"/>
  <c r="DX15" i="1"/>
  <c r="DW15" i="1"/>
  <c r="DV15" i="1"/>
  <c r="DU15" i="1"/>
  <c r="DT15" i="1"/>
  <c r="DX14" i="1"/>
  <c r="DW14" i="1"/>
  <c r="DV14" i="1"/>
  <c r="DU14" i="1"/>
  <c r="DT14" i="1"/>
  <c r="DX13" i="1"/>
  <c r="DW13" i="1"/>
  <c r="DV13" i="1"/>
  <c r="DU13" i="1"/>
  <c r="DT13" i="1"/>
  <c r="DX12" i="1"/>
  <c r="DW12" i="1"/>
  <c r="DV12" i="1"/>
  <c r="DU12" i="1"/>
  <c r="DT12" i="1"/>
  <c r="DX11" i="1"/>
  <c r="DW11" i="1"/>
  <c r="DV11" i="1"/>
  <c r="DU11" i="1"/>
  <c r="DT11" i="1"/>
  <c r="DX10" i="1"/>
  <c r="DW10" i="1"/>
  <c r="DV10" i="1"/>
  <c r="DU10" i="1"/>
  <c r="DT10" i="1"/>
  <c r="DX9" i="1"/>
  <c r="DW9" i="1"/>
  <c r="DV9" i="1"/>
  <c r="DU9" i="1"/>
  <c r="DT9" i="1"/>
  <c r="DX8" i="1"/>
  <c r="DW8" i="1"/>
  <c r="DV8" i="1"/>
  <c r="DU8" i="1"/>
  <c r="DT8" i="1"/>
  <c r="DX7" i="1"/>
  <c r="DW7" i="1"/>
  <c r="DV7" i="1"/>
  <c r="DU7" i="1"/>
  <c r="DT7" i="1"/>
  <c r="DX6" i="1"/>
  <c r="DW6" i="1"/>
  <c r="DV6" i="1"/>
  <c r="DU6" i="1"/>
  <c r="DT6" i="1"/>
  <c r="DX5" i="1"/>
  <c r="DW5" i="1"/>
  <c r="DV5" i="1"/>
  <c r="DU5" i="1"/>
  <c r="DT5" i="1"/>
  <c r="DW4" i="1"/>
  <c r="DX4" i="1"/>
  <c r="DS76" i="1"/>
  <c r="DR76" i="1"/>
  <c r="DQ76" i="1"/>
  <c r="DS75" i="1"/>
  <c r="DR75" i="1"/>
  <c r="DQ75" i="1"/>
  <c r="DS74" i="1"/>
  <c r="DR74" i="1"/>
  <c r="DQ74" i="1"/>
  <c r="DS73" i="1"/>
  <c r="DR73" i="1"/>
  <c r="DQ73" i="1"/>
  <c r="DS72" i="1"/>
  <c r="DR72" i="1"/>
  <c r="DQ72" i="1"/>
  <c r="DS71" i="1"/>
  <c r="DR71" i="1"/>
  <c r="DQ71" i="1"/>
  <c r="DS70" i="1"/>
  <c r="DR70" i="1"/>
  <c r="DQ70" i="1"/>
  <c r="DS69" i="1"/>
  <c r="DR69" i="1"/>
  <c r="DQ69" i="1"/>
  <c r="DS68" i="1"/>
  <c r="DR68" i="1"/>
  <c r="DQ68" i="1"/>
  <c r="DS67" i="1"/>
  <c r="DR67" i="1"/>
  <c r="DQ67" i="1"/>
  <c r="DS66" i="1"/>
  <c r="DR66" i="1"/>
  <c r="DQ66" i="1"/>
  <c r="DS65" i="1"/>
  <c r="DR65" i="1"/>
  <c r="DQ65" i="1"/>
  <c r="DS64" i="1"/>
  <c r="DR64" i="1"/>
  <c r="DQ64" i="1"/>
  <c r="DS63" i="1"/>
  <c r="DR63" i="1"/>
  <c r="DQ63" i="1"/>
  <c r="DS62" i="1"/>
  <c r="DR62" i="1"/>
  <c r="DQ62" i="1"/>
  <c r="DS61" i="1"/>
  <c r="DR61" i="1"/>
  <c r="DQ61" i="1"/>
  <c r="DS60" i="1"/>
  <c r="DR60" i="1"/>
  <c r="DQ60" i="1"/>
  <c r="DS59" i="1"/>
  <c r="DR59" i="1"/>
  <c r="DQ59" i="1"/>
  <c r="DS58" i="1"/>
  <c r="DR58" i="1"/>
  <c r="DQ58" i="1"/>
  <c r="DS57" i="1"/>
  <c r="DR57" i="1"/>
  <c r="DQ57" i="1"/>
  <c r="DS56" i="1"/>
  <c r="DR56" i="1"/>
  <c r="DQ56" i="1"/>
  <c r="DS55" i="1"/>
  <c r="DR55" i="1"/>
  <c r="DQ55" i="1"/>
  <c r="DS54" i="1"/>
  <c r="DR54" i="1"/>
  <c r="DQ54" i="1"/>
  <c r="DS53" i="1"/>
  <c r="DR53" i="1"/>
  <c r="DQ53" i="1"/>
  <c r="DS52" i="1"/>
  <c r="DR52" i="1"/>
  <c r="DQ52" i="1"/>
  <c r="DS51" i="1"/>
  <c r="DR51" i="1"/>
  <c r="DQ51" i="1"/>
  <c r="DS50" i="1"/>
  <c r="DR50" i="1"/>
  <c r="DQ50" i="1"/>
  <c r="DS49" i="1"/>
  <c r="DR49" i="1"/>
  <c r="DQ49" i="1"/>
  <c r="DS48" i="1"/>
  <c r="DR48" i="1"/>
  <c r="DQ48" i="1"/>
  <c r="DS47" i="1"/>
  <c r="DR47" i="1"/>
  <c r="DQ47" i="1"/>
  <c r="DS46" i="1"/>
  <c r="DR46" i="1"/>
  <c r="DQ46" i="1"/>
  <c r="DS45" i="1"/>
  <c r="DR45" i="1"/>
  <c r="DQ45" i="1"/>
  <c r="DS44" i="1"/>
  <c r="DR44" i="1"/>
  <c r="DQ44" i="1"/>
  <c r="DS43" i="1"/>
  <c r="DR43" i="1"/>
  <c r="DQ43" i="1"/>
  <c r="DS42" i="1"/>
  <c r="DR42" i="1"/>
  <c r="DQ42" i="1"/>
  <c r="DS41" i="1"/>
  <c r="DR41" i="1"/>
  <c r="DQ41" i="1"/>
  <c r="DS40" i="1"/>
  <c r="DR40" i="1"/>
  <c r="DQ40" i="1"/>
  <c r="DS39" i="1"/>
  <c r="DR39" i="1"/>
  <c r="DQ39" i="1"/>
  <c r="DS38" i="1"/>
  <c r="DR38" i="1"/>
  <c r="DQ38" i="1"/>
  <c r="DS37" i="1"/>
  <c r="DR37" i="1"/>
  <c r="DQ37" i="1"/>
  <c r="DS36" i="1"/>
  <c r="DR36" i="1"/>
  <c r="DQ36" i="1"/>
  <c r="DS35" i="1"/>
  <c r="DR35" i="1"/>
  <c r="DQ35" i="1"/>
  <c r="DS34" i="1"/>
  <c r="DR34" i="1"/>
  <c r="DQ34" i="1"/>
  <c r="DS33" i="1"/>
  <c r="DR33" i="1"/>
  <c r="DQ33" i="1"/>
  <c r="DS32" i="1"/>
  <c r="DR32" i="1"/>
  <c r="DQ32" i="1"/>
  <c r="DS31" i="1"/>
  <c r="DR31" i="1"/>
  <c r="DQ31" i="1"/>
  <c r="DS30" i="1"/>
  <c r="DR30" i="1"/>
  <c r="DQ30" i="1"/>
  <c r="DS29" i="1"/>
  <c r="DR29" i="1"/>
  <c r="DQ29" i="1"/>
  <c r="DS28" i="1"/>
  <c r="DR28" i="1"/>
  <c r="DQ28" i="1"/>
  <c r="DS27" i="1"/>
  <c r="DR27" i="1"/>
  <c r="DQ27" i="1"/>
  <c r="DS26" i="1"/>
  <c r="DR26" i="1"/>
  <c r="DQ26" i="1"/>
  <c r="DS25" i="1"/>
  <c r="DR25" i="1"/>
  <c r="DQ25" i="1"/>
  <c r="DS24" i="1"/>
  <c r="DR24" i="1"/>
  <c r="DQ24" i="1"/>
  <c r="DS23" i="1"/>
  <c r="DR23" i="1"/>
  <c r="DQ23" i="1"/>
  <c r="DS22" i="1"/>
  <c r="DR22" i="1"/>
  <c r="DQ22" i="1"/>
  <c r="DS21" i="1"/>
  <c r="DR21" i="1"/>
  <c r="DQ21" i="1"/>
  <c r="DS20" i="1"/>
  <c r="DR20" i="1"/>
  <c r="DQ20" i="1"/>
  <c r="DS19" i="1"/>
  <c r="DR19" i="1"/>
  <c r="DQ19" i="1"/>
  <c r="DS18" i="1"/>
  <c r="DR18" i="1"/>
  <c r="DQ18" i="1"/>
  <c r="DS17" i="1"/>
  <c r="DR17" i="1"/>
  <c r="DQ17" i="1"/>
  <c r="DS16" i="1"/>
  <c r="DR16" i="1"/>
  <c r="DQ16" i="1"/>
  <c r="DS15" i="1"/>
  <c r="DR15" i="1"/>
  <c r="DQ15" i="1"/>
  <c r="DS14" i="1"/>
  <c r="DR14" i="1"/>
  <c r="DQ14" i="1"/>
  <c r="DS13" i="1"/>
  <c r="DR13" i="1"/>
  <c r="DQ13" i="1"/>
  <c r="DS12" i="1"/>
  <c r="DR12" i="1"/>
  <c r="DQ12" i="1"/>
  <c r="DS11" i="1"/>
  <c r="DR11" i="1"/>
  <c r="DQ11" i="1"/>
  <c r="DS10" i="1"/>
  <c r="DR10" i="1"/>
  <c r="DQ10" i="1"/>
  <c r="DS9" i="1"/>
  <c r="DR9" i="1"/>
  <c r="DQ9" i="1"/>
  <c r="DS8" i="1"/>
  <c r="DR8" i="1"/>
  <c r="DQ8" i="1"/>
  <c r="DS7" i="1"/>
  <c r="DR7" i="1"/>
  <c r="DQ7" i="1"/>
  <c r="DS6" i="1"/>
  <c r="DR6" i="1"/>
  <c r="DQ6" i="1"/>
  <c r="DS5" i="1"/>
  <c r="DR5" i="1"/>
  <c r="DQ5" i="1"/>
  <c r="DS4" i="1"/>
  <c r="DR4" i="1"/>
  <c r="DQ4" i="1"/>
  <c r="DI5" i="1"/>
  <c r="DJ5" i="1"/>
  <c r="DK5" i="1"/>
  <c r="DI6" i="1"/>
  <c r="DJ6" i="1"/>
  <c r="DK6" i="1"/>
  <c r="DI7" i="1"/>
  <c r="DJ7" i="1"/>
  <c r="DK7" i="1"/>
  <c r="DI8" i="1"/>
  <c r="DJ8" i="1"/>
  <c r="DK8" i="1"/>
  <c r="DI9" i="1"/>
  <c r="DJ9" i="1"/>
  <c r="DK9" i="1"/>
  <c r="DI10" i="1"/>
  <c r="DJ10" i="1"/>
  <c r="DK10" i="1"/>
  <c r="DI11" i="1"/>
  <c r="DJ11" i="1"/>
  <c r="DK11" i="1"/>
  <c r="DI12" i="1"/>
  <c r="DJ12" i="1"/>
  <c r="DK12" i="1"/>
  <c r="DI13" i="1"/>
  <c r="DJ13" i="1"/>
  <c r="DK13" i="1"/>
  <c r="DI14" i="1"/>
  <c r="DJ14" i="1"/>
  <c r="DK14" i="1"/>
  <c r="DI15" i="1"/>
  <c r="DJ15" i="1"/>
  <c r="DK15" i="1"/>
  <c r="DI16" i="1"/>
  <c r="DJ16" i="1"/>
  <c r="DK16" i="1"/>
  <c r="DI17" i="1"/>
  <c r="DJ17" i="1"/>
  <c r="DK17" i="1"/>
  <c r="DI18" i="1"/>
  <c r="DJ18" i="1"/>
  <c r="DK18" i="1"/>
  <c r="DI19" i="1"/>
  <c r="DJ19" i="1"/>
  <c r="DK19" i="1"/>
  <c r="DI20" i="1"/>
  <c r="DJ20" i="1"/>
  <c r="DK20" i="1"/>
  <c r="DI21" i="1"/>
  <c r="DJ21" i="1"/>
  <c r="DK21" i="1"/>
  <c r="DI22" i="1"/>
  <c r="DJ22" i="1"/>
  <c r="DK22" i="1"/>
  <c r="DI23" i="1"/>
  <c r="DJ23" i="1"/>
  <c r="DK23" i="1"/>
  <c r="DI24" i="1"/>
  <c r="DJ24" i="1"/>
  <c r="DK24" i="1"/>
  <c r="DI25" i="1"/>
  <c r="DJ25" i="1"/>
  <c r="DK25" i="1"/>
  <c r="DI26" i="1"/>
  <c r="DJ26" i="1"/>
  <c r="DK26" i="1"/>
  <c r="DI27" i="1"/>
  <c r="DJ27" i="1"/>
  <c r="DK27" i="1"/>
  <c r="DI28" i="1"/>
  <c r="DJ28" i="1"/>
  <c r="DK28" i="1"/>
  <c r="DI29" i="1"/>
  <c r="DJ29" i="1"/>
  <c r="DK29" i="1"/>
  <c r="DI30" i="1"/>
  <c r="DJ30" i="1"/>
  <c r="DK30" i="1"/>
  <c r="DI31" i="1"/>
  <c r="DJ31" i="1"/>
  <c r="DK31" i="1"/>
  <c r="DI32" i="1"/>
  <c r="DJ32" i="1"/>
  <c r="DK32" i="1"/>
  <c r="DI33" i="1"/>
  <c r="DJ33" i="1"/>
  <c r="DK33" i="1"/>
  <c r="DI34" i="1"/>
  <c r="DJ34" i="1"/>
  <c r="DK34" i="1"/>
  <c r="DI35" i="1"/>
  <c r="DJ35" i="1"/>
  <c r="DK35" i="1"/>
  <c r="DI36" i="1"/>
  <c r="DJ36" i="1"/>
  <c r="DK36" i="1"/>
  <c r="DI37" i="1"/>
  <c r="DJ37" i="1"/>
  <c r="DK37" i="1"/>
  <c r="DI38" i="1"/>
  <c r="DJ38" i="1"/>
  <c r="DK38" i="1"/>
  <c r="DI39" i="1"/>
  <c r="DJ39" i="1"/>
  <c r="DK39" i="1"/>
  <c r="DI40" i="1"/>
  <c r="DJ40" i="1"/>
  <c r="DK40" i="1"/>
  <c r="DI41" i="1"/>
  <c r="DJ41" i="1"/>
  <c r="DK41" i="1"/>
  <c r="DI42" i="1"/>
  <c r="DJ42" i="1"/>
  <c r="DK42" i="1"/>
  <c r="DI43" i="1"/>
  <c r="DJ43" i="1"/>
  <c r="DK43" i="1"/>
  <c r="DI44" i="1"/>
  <c r="DJ44" i="1"/>
  <c r="DK44" i="1"/>
  <c r="DI45" i="1"/>
  <c r="DJ45" i="1"/>
  <c r="DK45" i="1"/>
  <c r="DI46" i="1"/>
  <c r="DJ46" i="1"/>
  <c r="DK46" i="1"/>
  <c r="DI47" i="1"/>
  <c r="DJ47" i="1"/>
  <c r="DK47" i="1"/>
  <c r="DI48" i="1"/>
  <c r="DJ48" i="1"/>
  <c r="DK48" i="1"/>
  <c r="DI49" i="1"/>
  <c r="DJ49" i="1"/>
  <c r="DK49" i="1"/>
  <c r="DI50" i="1"/>
  <c r="DJ50" i="1"/>
  <c r="DK50" i="1"/>
  <c r="DI51" i="1"/>
  <c r="DJ51" i="1"/>
  <c r="DK51" i="1"/>
  <c r="DI52" i="1"/>
  <c r="DJ52" i="1"/>
  <c r="DK52" i="1"/>
  <c r="DI53" i="1"/>
  <c r="DJ53" i="1"/>
  <c r="DK53" i="1"/>
  <c r="DI54" i="1"/>
  <c r="DJ54" i="1"/>
  <c r="DK54" i="1"/>
  <c r="DI55" i="1"/>
  <c r="DJ55" i="1"/>
  <c r="DK55" i="1"/>
  <c r="DI56" i="1"/>
  <c r="DJ56" i="1"/>
  <c r="DK56" i="1"/>
  <c r="DI57" i="1"/>
  <c r="DJ57" i="1"/>
  <c r="DK57" i="1"/>
  <c r="DI58" i="1"/>
  <c r="DJ58" i="1"/>
  <c r="DK58" i="1"/>
  <c r="DI59" i="1"/>
  <c r="DJ59" i="1"/>
  <c r="DK59" i="1"/>
  <c r="DI60" i="1"/>
  <c r="DJ60" i="1"/>
  <c r="DK60" i="1"/>
  <c r="DI61" i="1"/>
  <c r="DJ61" i="1"/>
  <c r="DK61" i="1"/>
  <c r="DI62" i="1"/>
  <c r="DJ62" i="1"/>
  <c r="DK62" i="1"/>
  <c r="DI63" i="1"/>
  <c r="DJ63" i="1"/>
  <c r="DK63" i="1"/>
  <c r="DI64" i="1"/>
  <c r="DJ64" i="1"/>
  <c r="DK64" i="1"/>
  <c r="DI65" i="1"/>
  <c r="DJ65" i="1"/>
  <c r="DK65" i="1"/>
  <c r="DI66" i="1"/>
  <c r="DJ66" i="1"/>
  <c r="DK66" i="1"/>
  <c r="DI67" i="1"/>
  <c r="DJ67" i="1"/>
  <c r="DK67" i="1"/>
  <c r="DI68" i="1"/>
  <c r="DJ68" i="1"/>
  <c r="DK68" i="1"/>
  <c r="DI69" i="1"/>
  <c r="DJ69" i="1"/>
  <c r="DK69" i="1"/>
  <c r="DI70" i="1"/>
  <c r="DJ70" i="1"/>
  <c r="DK70" i="1"/>
  <c r="DI71" i="1"/>
  <c r="DJ71" i="1"/>
  <c r="DK71" i="1"/>
  <c r="DI72" i="1"/>
  <c r="DJ72" i="1"/>
  <c r="DK72" i="1"/>
  <c r="DI73" i="1"/>
  <c r="DJ73" i="1"/>
  <c r="DK73" i="1"/>
  <c r="DI74" i="1"/>
  <c r="DJ74" i="1"/>
  <c r="DK74" i="1"/>
  <c r="DI75" i="1"/>
  <c r="DJ75" i="1"/>
  <c r="DK75" i="1"/>
  <c r="DI76" i="1"/>
  <c r="DJ76" i="1"/>
  <c r="DK76" i="1"/>
  <c r="DK4" i="1"/>
  <c r="DJ4" i="1"/>
  <c r="DI4" i="1"/>
  <c r="BW76" i="1"/>
  <c r="BW75" i="1"/>
  <c r="BW74" i="1"/>
  <c r="BW73" i="1"/>
  <c r="BW72" i="1"/>
  <c r="BW71" i="1"/>
  <c r="BW70" i="1"/>
  <c r="BW69" i="1"/>
  <c r="BW68" i="1"/>
  <c r="BW67" i="1"/>
  <c r="BW66" i="1"/>
  <c r="BW65" i="1"/>
  <c r="BW64" i="1"/>
  <c r="BW63" i="1"/>
  <c r="BW62" i="1"/>
  <c r="BW61" i="1"/>
  <c r="BW60" i="1"/>
  <c r="BW59" i="1"/>
  <c r="BW58" i="1"/>
  <c r="BW57" i="1"/>
  <c r="BW56" i="1"/>
  <c r="BW55" i="1"/>
  <c r="BW54" i="1"/>
  <c r="BW53" i="1"/>
  <c r="BW52" i="1"/>
  <c r="BW51" i="1"/>
  <c r="BW50" i="1"/>
  <c r="BW49" i="1"/>
  <c r="BW48" i="1"/>
  <c r="BW47" i="1"/>
  <c r="BW46" i="1"/>
  <c r="BW45" i="1"/>
  <c r="BW44" i="1"/>
  <c r="BW43" i="1"/>
  <c r="BW42" i="1"/>
  <c r="BW41" i="1"/>
  <c r="BW40" i="1"/>
  <c r="BW39" i="1"/>
  <c r="BW38" i="1"/>
  <c r="BW37" i="1"/>
  <c r="BW36" i="1"/>
  <c r="BW35" i="1"/>
  <c r="BW34" i="1"/>
  <c r="BW33" i="1"/>
  <c r="BW32" i="1"/>
  <c r="BW31" i="1"/>
  <c r="BW30" i="1"/>
  <c r="BW29" i="1"/>
  <c r="BW28" i="1"/>
  <c r="BW27" i="1"/>
  <c r="BW26" i="1"/>
  <c r="BW25" i="1"/>
  <c r="BW24" i="1"/>
  <c r="BW23" i="1"/>
  <c r="BW22" i="1"/>
  <c r="BW21" i="1"/>
  <c r="BW20" i="1"/>
  <c r="BW19" i="1"/>
  <c r="BW18" i="1"/>
  <c r="BW17" i="1"/>
  <c r="BW16" i="1"/>
  <c r="BW15" i="1"/>
  <c r="BW14" i="1"/>
  <c r="BW13" i="1"/>
  <c r="BW12" i="1"/>
  <c r="BW11" i="1"/>
  <c r="BW10" i="1"/>
  <c r="BW9" i="1"/>
  <c r="BW8" i="1"/>
  <c r="BW7" i="1"/>
  <c r="BW6" i="1"/>
  <c r="BW5" i="1"/>
  <c r="DC5" i="1"/>
  <c r="DC4" i="1"/>
  <c r="DC76" i="1"/>
  <c r="DB76" i="1"/>
  <c r="DC75" i="1"/>
  <c r="DB75" i="1"/>
  <c r="DC74" i="1"/>
  <c r="DB74" i="1"/>
  <c r="DC73" i="1"/>
  <c r="DB73" i="1"/>
  <c r="DC72" i="1"/>
  <c r="DB72" i="1"/>
  <c r="DC71" i="1"/>
  <c r="DB71" i="1"/>
  <c r="DC70" i="1"/>
  <c r="DB70" i="1"/>
  <c r="DC69" i="1"/>
  <c r="DB69" i="1"/>
  <c r="DC68" i="1"/>
  <c r="DB68" i="1"/>
  <c r="DC67" i="1"/>
  <c r="DB67" i="1"/>
  <c r="DC66" i="1"/>
  <c r="DB66" i="1"/>
  <c r="DC65" i="1"/>
  <c r="DB65" i="1"/>
  <c r="DC64" i="1"/>
  <c r="DB64" i="1"/>
  <c r="DC63" i="1"/>
  <c r="DB63" i="1"/>
  <c r="DC62" i="1"/>
  <c r="DB62" i="1"/>
  <c r="DC61" i="1"/>
  <c r="DB61" i="1"/>
  <c r="DC60" i="1"/>
  <c r="DB60" i="1"/>
  <c r="DC59" i="1"/>
  <c r="DB59" i="1"/>
  <c r="DC58" i="1"/>
  <c r="DB58" i="1"/>
  <c r="DC57" i="1"/>
  <c r="DB57" i="1"/>
  <c r="DC56" i="1"/>
  <c r="DB56" i="1"/>
  <c r="DC55" i="1"/>
  <c r="DB55" i="1"/>
  <c r="DC54" i="1"/>
  <c r="DB54" i="1"/>
  <c r="DC53" i="1"/>
  <c r="DB53" i="1"/>
  <c r="DC52" i="1"/>
  <c r="DB52" i="1"/>
  <c r="DC51" i="1"/>
  <c r="DB51" i="1"/>
  <c r="DC50" i="1"/>
  <c r="DB50" i="1"/>
  <c r="DC49" i="1"/>
  <c r="DB49" i="1"/>
  <c r="DC48" i="1"/>
  <c r="DB48" i="1"/>
  <c r="DC47" i="1"/>
  <c r="DB47" i="1"/>
  <c r="DC46" i="1"/>
  <c r="DB46" i="1"/>
  <c r="DC45" i="1"/>
  <c r="DB45" i="1"/>
  <c r="DC44" i="1"/>
  <c r="DB44" i="1"/>
  <c r="DC43" i="1"/>
  <c r="DB43" i="1"/>
  <c r="DC42" i="1"/>
  <c r="DB42" i="1"/>
  <c r="DC41" i="1"/>
  <c r="DB41" i="1"/>
  <c r="DC40" i="1"/>
  <c r="DB40" i="1"/>
  <c r="DC39" i="1"/>
  <c r="DB39" i="1"/>
  <c r="DC38" i="1"/>
  <c r="DB38" i="1"/>
  <c r="DC37" i="1"/>
  <c r="DB37" i="1"/>
  <c r="DC36" i="1"/>
  <c r="DB36" i="1"/>
  <c r="DC35" i="1"/>
  <c r="DB35" i="1"/>
  <c r="DC34" i="1"/>
  <c r="DB34" i="1"/>
  <c r="DC33" i="1"/>
  <c r="DB33" i="1"/>
  <c r="DC32" i="1"/>
  <c r="DB32" i="1"/>
  <c r="DC31" i="1"/>
  <c r="DB31" i="1"/>
  <c r="DC30" i="1"/>
  <c r="DB30" i="1"/>
  <c r="DC29" i="1"/>
  <c r="DB29" i="1"/>
  <c r="DC28" i="1"/>
  <c r="DB28" i="1"/>
  <c r="DC27" i="1"/>
  <c r="DB27" i="1"/>
  <c r="DC26" i="1"/>
  <c r="DB26" i="1"/>
  <c r="DC25" i="1"/>
  <c r="DB25" i="1"/>
  <c r="DC24" i="1"/>
  <c r="DB24" i="1"/>
  <c r="DC23" i="1"/>
  <c r="DB23" i="1"/>
  <c r="DC22" i="1"/>
  <c r="DB22" i="1"/>
  <c r="DC21" i="1"/>
  <c r="DB21" i="1"/>
  <c r="DC20" i="1"/>
  <c r="DB20" i="1"/>
  <c r="DC19" i="1"/>
  <c r="DB19" i="1"/>
  <c r="DC18" i="1"/>
  <c r="DB18" i="1"/>
  <c r="DC17" i="1"/>
  <c r="DB17" i="1"/>
  <c r="DC16" i="1"/>
  <c r="DB16" i="1"/>
  <c r="DC15" i="1"/>
  <c r="DB15" i="1"/>
  <c r="DC14" i="1"/>
  <c r="DB14" i="1"/>
  <c r="DC13" i="1"/>
  <c r="DB13" i="1"/>
  <c r="DC12" i="1"/>
  <c r="DB12" i="1"/>
  <c r="DC11" i="1"/>
  <c r="DB11" i="1"/>
  <c r="DC10" i="1"/>
  <c r="DB10" i="1"/>
  <c r="DC9" i="1"/>
  <c r="DB9" i="1"/>
  <c r="DC8" i="1"/>
  <c r="DB8" i="1"/>
  <c r="DC7" i="1"/>
  <c r="DB7" i="1"/>
  <c r="DC6" i="1"/>
  <c r="DB6" i="1"/>
  <c r="DB5" i="1"/>
  <c r="DB4" i="1"/>
  <c r="CY76" i="1"/>
  <c r="CY75" i="1"/>
  <c r="CY74" i="1"/>
  <c r="CY73" i="1"/>
  <c r="CY72" i="1"/>
  <c r="CY71" i="1"/>
  <c r="CY70" i="1"/>
  <c r="CY69" i="1"/>
  <c r="CY68" i="1"/>
  <c r="CY67" i="1"/>
  <c r="CY66" i="1"/>
  <c r="CY65" i="1"/>
  <c r="CY64" i="1"/>
  <c r="CY63" i="1"/>
  <c r="CY62" i="1"/>
  <c r="CY61" i="1"/>
  <c r="CY60" i="1"/>
  <c r="CY59" i="1"/>
  <c r="CY58" i="1"/>
  <c r="CY57" i="1"/>
  <c r="CY56" i="1"/>
  <c r="CY55" i="1"/>
  <c r="CY54" i="1"/>
  <c r="CY53" i="1"/>
  <c r="CY52" i="1"/>
  <c r="CY51" i="1"/>
  <c r="CY50" i="1"/>
  <c r="CY49" i="1"/>
  <c r="CY48" i="1"/>
  <c r="CY47" i="1"/>
  <c r="CY46" i="1"/>
  <c r="CY45" i="1"/>
  <c r="CY44" i="1"/>
  <c r="CY43" i="1"/>
  <c r="CY42" i="1"/>
  <c r="CY41" i="1"/>
  <c r="CY40" i="1"/>
  <c r="CY39" i="1"/>
  <c r="CY38" i="1"/>
  <c r="CY37" i="1"/>
  <c r="CY36" i="1"/>
  <c r="CY35" i="1"/>
  <c r="CY34" i="1"/>
  <c r="CY33" i="1"/>
  <c r="CY32" i="1"/>
  <c r="CY31" i="1"/>
  <c r="CY30" i="1"/>
  <c r="CY29" i="1"/>
  <c r="CY28" i="1"/>
  <c r="CY27" i="1"/>
  <c r="CY26" i="1"/>
  <c r="CY25" i="1"/>
  <c r="CY24" i="1"/>
  <c r="CY23" i="1"/>
  <c r="CY22" i="1"/>
  <c r="CY21" i="1"/>
  <c r="CY20" i="1"/>
  <c r="CY19" i="1"/>
  <c r="CY18" i="1"/>
  <c r="CY17" i="1"/>
  <c r="CY16" i="1"/>
  <c r="CY15" i="1"/>
  <c r="CY14" i="1"/>
  <c r="CY13" i="1"/>
  <c r="CY12" i="1"/>
  <c r="CY11" i="1"/>
  <c r="CY10" i="1"/>
  <c r="CY9" i="1"/>
  <c r="CY8" i="1"/>
  <c r="CY7" i="1"/>
  <c r="CY6" i="1"/>
  <c r="CY5" i="1"/>
  <c r="CU76" i="1"/>
  <c r="CU75" i="1"/>
  <c r="CU74" i="1"/>
  <c r="CU73" i="1"/>
  <c r="CU72" i="1"/>
  <c r="CU71" i="1"/>
  <c r="CU70" i="1"/>
  <c r="CU69" i="1"/>
  <c r="CU68" i="1"/>
  <c r="CU67" i="1"/>
  <c r="CU66" i="1"/>
  <c r="CU65" i="1"/>
  <c r="CU64" i="1"/>
  <c r="CU63" i="1"/>
  <c r="CU62" i="1"/>
  <c r="CU61" i="1"/>
  <c r="CU60" i="1"/>
  <c r="CU59" i="1"/>
  <c r="CU58" i="1"/>
  <c r="CU57" i="1"/>
  <c r="CU56" i="1"/>
  <c r="CU55" i="1"/>
  <c r="CU54" i="1"/>
  <c r="CU53" i="1"/>
  <c r="CU52" i="1"/>
  <c r="CU51" i="1"/>
  <c r="CU50" i="1"/>
  <c r="CU49" i="1"/>
  <c r="CU48" i="1"/>
  <c r="CU47" i="1"/>
  <c r="CU46" i="1"/>
  <c r="CU45" i="1"/>
  <c r="CU44" i="1"/>
  <c r="CU43" i="1"/>
  <c r="CU42" i="1"/>
  <c r="CU41" i="1"/>
  <c r="CU40" i="1"/>
  <c r="CU39" i="1"/>
  <c r="CU38" i="1"/>
  <c r="CU37" i="1"/>
  <c r="CU36" i="1"/>
  <c r="CU35" i="1"/>
  <c r="CU34" i="1"/>
  <c r="CU33" i="1"/>
  <c r="CU32" i="1"/>
  <c r="CU31" i="1"/>
  <c r="CU30" i="1"/>
  <c r="CU29" i="1"/>
  <c r="CU28" i="1"/>
  <c r="CU27" i="1"/>
  <c r="CU26" i="1"/>
  <c r="CU25" i="1"/>
  <c r="CU24" i="1"/>
  <c r="CU23" i="1"/>
  <c r="CU22" i="1"/>
  <c r="CU21" i="1"/>
  <c r="CU20" i="1"/>
  <c r="CU19" i="1"/>
  <c r="CU18" i="1"/>
  <c r="CU17" i="1"/>
  <c r="CU16" i="1"/>
  <c r="CU15" i="1"/>
  <c r="CU14" i="1"/>
  <c r="CU13" i="1"/>
  <c r="CU12" i="1"/>
  <c r="CU11" i="1"/>
  <c r="CU10" i="1"/>
  <c r="CU9" i="1"/>
  <c r="CU8" i="1"/>
  <c r="CU7" i="1"/>
  <c r="CU6" i="1"/>
  <c r="CU5" i="1"/>
  <c r="CM76" i="1"/>
  <c r="CM75" i="1"/>
  <c r="CM74" i="1"/>
  <c r="CM73" i="1"/>
  <c r="CM72" i="1"/>
  <c r="CM71" i="1"/>
  <c r="CM70" i="1"/>
  <c r="CM69" i="1"/>
  <c r="CM68" i="1"/>
  <c r="CM67" i="1"/>
  <c r="CM66" i="1"/>
  <c r="CM65" i="1"/>
  <c r="CM64" i="1"/>
  <c r="CM63" i="1"/>
  <c r="CM62" i="1"/>
  <c r="CM61" i="1"/>
  <c r="CM60" i="1"/>
  <c r="CM59" i="1"/>
  <c r="CM58" i="1"/>
  <c r="CM57" i="1"/>
  <c r="CM56" i="1"/>
  <c r="CM55" i="1"/>
  <c r="CM54" i="1"/>
  <c r="CM53" i="1"/>
  <c r="CM52" i="1"/>
  <c r="CM51" i="1"/>
  <c r="CM50" i="1"/>
  <c r="CM49" i="1"/>
  <c r="CM48" i="1"/>
  <c r="CM47" i="1"/>
  <c r="CM46" i="1"/>
  <c r="CM45" i="1"/>
  <c r="CM44" i="1"/>
  <c r="CM43" i="1"/>
  <c r="CM42" i="1"/>
  <c r="CM41" i="1"/>
  <c r="CM40" i="1"/>
  <c r="CM39" i="1"/>
  <c r="CM38" i="1"/>
  <c r="CM37" i="1"/>
  <c r="CM36" i="1"/>
  <c r="CM35" i="1"/>
  <c r="CM34" i="1"/>
  <c r="CM33" i="1"/>
  <c r="CM32" i="1"/>
  <c r="CM31" i="1"/>
  <c r="CM30" i="1"/>
  <c r="CM29" i="1"/>
  <c r="CM28" i="1"/>
  <c r="CM27" i="1"/>
  <c r="CM26" i="1"/>
  <c r="CM25" i="1"/>
  <c r="CM24" i="1"/>
  <c r="CM23" i="1"/>
  <c r="CM22" i="1"/>
  <c r="CM21" i="1"/>
  <c r="CM20" i="1"/>
  <c r="CM19" i="1"/>
  <c r="CM18" i="1"/>
  <c r="CM17" i="1"/>
  <c r="CM16" i="1"/>
  <c r="CM15" i="1"/>
  <c r="CM14" i="1"/>
  <c r="CM13" i="1"/>
  <c r="CM12" i="1"/>
  <c r="CM11" i="1"/>
  <c r="CM10" i="1"/>
  <c r="CM9" i="1"/>
  <c r="CM8" i="1"/>
  <c r="CM7" i="1"/>
  <c r="CM6" i="1"/>
  <c r="CM5" i="1"/>
  <c r="CI76" i="1"/>
  <c r="CI75" i="1"/>
  <c r="CI74" i="1"/>
  <c r="CI73" i="1"/>
  <c r="CI72" i="1"/>
  <c r="CI71" i="1"/>
  <c r="CI70" i="1"/>
  <c r="CI69" i="1"/>
  <c r="CI68" i="1"/>
  <c r="CI67" i="1"/>
  <c r="CI66" i="1"/>
  <c r="CI65" i="1"/>
  <c r="CI64" i="1"/>
  <c r="CI63" i="1"/>
  <c r="CI62" i="1"/>
  <c r="CI61" i="1"/>
  <c r="CI60" i="1"/>
  <c r="CI59" i="1"/>
  <c r="CI58" i="1"/>
  <c r="CI57" i="1"/>
  <c r="CI56" i="1"/>
  <c r="CI55" i="1"/>
  <c r="CI54" i="1"/>
  <c r="CI53" i="1"/>
  <c r="CI52" i="1"/>
  <c r="CI51" i="1"/>
  <c r="CI50" i="1"/>
  <c r="CI49" i="1"/>
  <c r="CI48" i="1"/>
  <c r="CI47" i="1"/>
  <c r="CI46" i="1"/>
  <c r="CI45" i="1"/>
  <c r="CI44" i="1"/>
  <c r="CI43" i="1"/>
  <c r="CI42" i="1"/>
  <c r="CI41" i="1"/>
  <c r="CI40" i="1"/>
  <c r="CI39" i="1"/>
  <c r="CI38" i="1"/>
  <c r="CI37" i="1"/>
  <c r="CI36" i="1"/>
  <c r="CI35" i="1"/>
  <c r="CI34" i="1"/>
  <c r="CI33" i="1"/>
  <c r="CI32" i="1"/>
  <c r="CI31" i="1"/>
  <c r="CI30" i="1"/>
  <c r="CI29" i="1"/>
  <c r="CI28" i="1"/>
  <c r="CI27" i="1"/>
  <c r="CI26" i="1"/>
  <c r="CI25" i="1"/>
  <c r="CI24" i="1"/>
  <c r="CI23" i="1"/>
  <c r="CI22" i="1"/>
  <c r="CI21" i="1"/>
  <c r="CI20" i="1"/>
  <c r="CI19" i="1"/>
  <c r="CI18" i="1"/>
  <c r="CI17" i="1"/>
  <c r="CI16" i="1"/>
  <c r="CI15" i="1"/>
  <c r="CI14" i="1"/>
  <c r="CI13" i="1"/>
  <c r="CI12" i="1"/>
  <c r="CI11" i="1"/>
  <c r="CI10" i="1"/>
  <c r="CI9" i="1"/>
  <c r="CI8" i="1"/>
  <c r="CI7" i="1"/>
  <c r="CI6" i="1"/>
  <c r="CI5" i="1"/>
  <c r="CE6" i="1"/>
  <c r="CE7" i="1"/>
  <c r="CE8" i="1"/>
  <c r="CE9" i="1"/>
  <c r="CE10" i="1"/>
  <c r="CE11" i="1"/>
  <c r="CE12" i="1"/>
  <c r="CE13" i="1"/>
  <c r="CE14" i="1"/>
  <c r="CE15" i="1"/>
  <c r="CE16" i="1"/>
  <c r="CE17" i="1"/>
  <c r="CE18" i="1"/>
  <c r="CE19" i="1"/>
  <c r="CE20" i="1"/>
  <c r="CE21" i="1"/>
  <c r="CE22" i="1"/>
  <c r="CE23" i="1"/>
  <c r="CE24" i="1"/>
  <c r="CE25" i="1"/>
  <c r="CE26" i="1"/>
  <c r="CE27" i="1"/>
  <c r="CE28" i="1"/>
  <c r="CE29" i="1"/>
  <c r="CE30" i="1"/>
  <c r="CE31" i="1"/>
  <c r="CE32" i="1"/>
  <c r="CE33" i="1"/>
  <c r="CE34" i="1"/>
  <c r="CE35" i="1"/>
  <c r="CE36" i="1"/>
  <c r="CE37" i="1"/>
  <c r="CE38" i="1"/>
  <c r="CE39" i="1"/>
  <c r="CE40" i="1"/>
  <c r="CE41" i="1"/>
  <c r="CE42" i="1"/>
  <c r="CE43" i="1"/>
  <c r="CE44" i="1"/>
  <c r="CE45" i="1"/>
  <c r="CE46" i="1"/>
  <c r="CE47" i="1"/>
  <c r="CE48" i="1"/>
  <c r="CE49" i="1"/>
  <c r="CE50" i="1"/>
  <c r="CE51" i="1"/>
  <c r="CE52" i="1"/>
  <c r="CE53" i="1"/>
  <c r="CE54" i="1"/>
  <c r="CE55" i="1"/>
  <c r="CE56" i="1"/>
  <c r="CE57" i="1"/>
  <c r="CE58" i="1"/>
  <c r="CE59" i="1"/>
  <c r="CE60" i="1"/>
  <c r="CE61" i="1"/>
  <c r="CE62" i="1"/>
  <c r="CE63" i="1"/>
  <c r="CE64" i="1"/>
  <c r="CE65" i="1"/>
  <c r="CE66" i="1"/>
  <c r="CE67" i="1"/>
  <c r="CE68" i="1"/>
  <c r="CE69" i="1"/>
  <c r="CE70" i="1"/>
  <c r="CE71" i="1"/>
  <c r="CE72" i="1"/>
  <c r="CE73" i="1"/>
  <c r="CE74" i="1"/>
  <c r="CE75" i="1"/>
  <c r="CE76" i="1"/>
  <c r="CE5" i="1"/>
  <c r="CA76" i="1"/>
  <c r="CA75" i="1"/>
  <c r="CA74" i="1"/>
  <c r="CA73" i="1"/>
  <c r="CA72" i="1"/>
  <c r="CA71" i="1"/>
  <c r="CA70" i="1"/>
  <c r="CA69" i="1"/>
  <c r="CA68" i="1"/>
  <c r="CA67" i="1"/>
  <c r="CA66" i="1"/>
  <c r="CA65" i="1"/>
  <c r="CA64" i="1"/>
  <c r="CA63" i="1"/>
  <c r="CA62" i="1"/>
  <c r="CA61" i="1"/>
  <c r="CA60" i="1"/>
  <c r="CA59" i="1"/>
  <c r="CA58" i="1"/>
  <c r="CA57" i="1"/>
  <c r="CA56" i="1"/>
  <c r="CA55" i="1"/>
  <c r="CA54" i="1"/>
  <c r="CA53" i="1"/>
  <c r="CA52" i="1"/>
  <c r="CA51" i="1"/>
  <c r="CA50" i="1"/>
  <c r="CA49" i="1"/>
  <c r="CA48" i="1"/>
  <c r="CA47" i="1"/>
  <c r="CA46" i="1"/>
  <c r="CA45" i="1"/>
  <c r="CA44" i="1"/>
  <c r="CA43" i="1"/>
  <c r="CA42" i="1"/>
  <c r="CA41" i="1"/>
  <c r="CA40" i="1"/>
  <c r="CA39" i="1"/>
  <c r="CA38" i="1"/>
  <c r="CA37" i="1"/>
  <c r="CA36" i="1"/>
  <c r="CA35" i="1"/>
  <c r="CA34" i="1"/>
  <c r="CA33" i="1"/>
  <c r="CA32" i="1"/>
  <c r="CA31" i="1"/>
  <c r="CA30" i="1"/>
  <c r="CA29" i="1"/>
  <c r="CA28" i="1"/>
  <c r="CA27" i="1"/>
  <c r="CA26" i="1"/>
  <c r="CA25" i="1"/>
  <c r="CA24" i="1"/>
  <c r="CA23" i="1"/>
  <c r="CA22" i="1"/>
  <c r="CA21" i="1"/>
  <c r="CA20" i="1"/>
  <c r="CA19" i="1"/>
  <c r="CA18" i="1"/>
  <c r="CA17" i="1"/>
  <c r="CA16" i="1"/>
  <c r="CA15" i="1"/>
  <c r="CA14" i="1"/>
  <c r="CA13" i="1"/>
  <c r="CA12" i="1"/>
  <c r="CA11" i="1"/>
  <c r="CA10" i="1"/>
  <c r="CA9" i="1"/>
  <c r="CA8" i="1"/>
  <c r="CA7" i="1"/>
  <c r="CA6" i="1"/>
  <c r="CA5" i="1"/>
  <c r="CU4" i="1"/>
  <c r="CQ4" i="1"/>
  <c r="CM4" i="1"/>
  <c r="CE4" i="1"/>
  <c r="BW4" i="1"/>
  <c r="CX76" i="1"/>
  <c r="CX75" i="1"/>
  <c r="CX74" i="1"/>
  <c r="CX73" i="1"/>
  <c r="CX72" i="1"/>
  <c r="CX71" i="1"/>
  <c r="CX70" i="1"/>
  <c r="CX69" i="1"/>
  <c r="CX68" i="1"/>
  <c r="CX67" i="1"/>
  <c r="CX66" i="1"/>
  <c r="CX65" i="1"/>
  <c r="CX64" i="1"/>
  <c r="CX63" i="1"/>
  <c r="CX62" i="1"/>
  <c r="CX61" i="1"/>
  <c r="CX60" i="1"/>
  <c r="CX59" i="1"/>
  <c r="CX58" i="1"/>
  <c r="CX57" i="1"/>
  <c r="CX56" i="1"/>
  <c r="CX55" i="1"/>
  <c r="CX54" i="1"/>
  <c r="CX53" i="1"/>
  <c r="CX52" i="1"/>
  <c r="CX51" i="1"/>
  <c r="CX50" i="1"/>
  <c r="CX49" i="1"/>
  <c r="CX48" i="1"/>
  <c r="CX47" i="1"/>
  <c r="CX46" i="1"/>
  <c r="CX45" i="1"/>
  <c r="CX44" i="1"/>
  <c r="CX43" i="1"/>
  <c r="CX42" i="1"/>
  <c r="CX41" i="1"/>
  <c r="CX40" i="1"/>
  <c r="CX39" i="1"/>
  <c r="CX38" i="1"/>
  <c r="CX37" i="1"/>
  <c r="CX36" i="1"/>
  <c r="CX35" i="1"/>
  <c r="CX34" i="1"/>
  <c r="CX33" i="1"/>
  <c r="CX32" i="1"/>
  <c r="CX31" i="1"/>
  <c r="CX30" i="1"/>
  <c r="CX29" i="1"/>
  <c r="CX28" i="1"/>
  <c r="CX27" i="1"/>
  <c r="CX26" i="1"/>
  <c r="CX25" i="1"/>
  <c r="CX24" i="1"/>
  <c r="CX23" i="1"/>
  <c r="CX22" i="1"/>
  <c r="CX21" i="1"/>
  <c r="CX20" i="1"/>
  <c r="CX19" i="1"/>
  <c r="CX18" i="1"/>
  <c r="CX17" i="1"/>
  <c r="CX16" i="1"/>
  <c r="CX15" i="1"/>
  <c r="CX14" i="1"/>
  <c r="CX13" i="1"/>
  <c r="CX12" i="1"/>
  <c r="CX11" i="1"/>
  <c r="CX10" i="1"/>
  <c r="CX9" i="1"/>
  <c r="CX8" i="1"/>
  <c r="CX7" i="1"/>
  <c r="CX6" i="1"/>
  <c r="CX5" i="1"/>
  <c r="CX4" i="1"/>
  <c r="CT76" i="1"/>
  <c r="CT75" i="1"/>
  <c r="CT74" i="1"/>
  <c r="CT73" i="1"/>
  <c r="CT72" i="1"/>
  <c r="CT71" i="1"/>
  <c r="CT70" i="1"/>
  <c r="CT69" i="1"/>
  <c r="CT68" i="1"/>
  <c r="CT67" i="1"/>
  <c r="CT66" i="1"/>
  <c r="CT65" i="1"/>
  <c r="CT64" i="1"/>
  <c r="CT63" i="1"/>
  <c r="CT62" i="1"/>
  <c r="CT61" i="1"/>
  <c r="CT60" i="1"/>
  <c r="CT59" i="1"/>
  <c r="CT58" i="1"/>
  <c r="CT57" i="1"/>
  <c r="CT56" i="1"/>
  <c r="CT55" i="1"/>
  <c r="CT54" i="1"/>
  <c r="CT53" i="1"/>
  <c r="CT52" i="1"/>
  <c r="CT51" i="1"/>
  <c r="CT50" i="1"/>
  <c r="CT49" i="1"/>
  <c r="CT48" i="1"/>
  <c r="CT47" i="1"/>
  <c r="CT46" i="1"/>
  <c r="CT45" i="1"/>
  <c r="CT44" i="1"/>
  <c r="CT43" i="1"/>
  <c r="CT42" i="1"/>
  <c r="CT41" i="1"/>
  <c r="CT40" i="1"/>
  <c r="CT39" i="1"/>
  <c r="CT38" i="1"/>
  <c r="CT37" i="1"/>
  <c r="CT36" i="1"/>
  <c r="CT35" i="1"/>
  <c r="CT34" i="1"/>
  <c r="CT33" i="1"/>
  <c r="CT32" i="1"/>
  <c r="CT31" i="1"/>
  <c r="CT30" i="1"/>
  <c r="CT29" i="1"/>
  <c r="CT28" i="1"/>
  <c r="CT27" i="1"/>
  <c r="CT26" i="1"/>
  <c r="CT25" i="1"/>
  <c r="CT24" i="1"/>
  <c r="CT23" i="1"/>
  <c r="CT22" i="1"/>
  <c r="CT21" i="1"/>
  <c r="CT20" i="1"/>
  <c r="CT19" i="1"/>
  <c r="CT18" i="1"/>
  <c r="CT17" i="1"/>
  <c r="CT16" i="1"/>
  <c r="CT15" i="1"/>
  <c r="CT14" i="1"/>
  <c r="CT13" i="1"/>
  <c r="CT12" i="1"/>
  <c r="CT11" i="1"/>
  <c r="CT10" i="1"/>
  <c r="CT9" i="1"/>
  <c r="CT8" i="1"/>
  <c r="CT7" i="1"/>
  <c r="CT6" i="1"/>
  <c r="CT5" i="1"/>
  <c r="CT4" i="1"/>
  <c r="CP5" i="1"/>
  <c r="CP4" i="1"/>
  <c r="CL76" i="1"/>
  <c r="CL75" i="1"/>
  <c r="CL74" i="1"/>
  <c r="CL73" i="1"/>
  <c r="CL72" i="1"/>
  <c r="CL71" i="1"/>
  <c r="CL70" i="1"/>
  <c r="CL69" i="1"/>
  <c r="CL68" i="1"/>
  <c r="CL67" i="1"/>
  <c r="CL66" i="1"/>
  <c r="CL65" i="1"/>
  <c r="CL64" i="1"/>
  <c r="CL63" i="1"/>
  <c r="CL62" i="1"/>
  <c r="CL61" i="1"/>
  <c r="CL60" i="1"/>
  <c r="CL59" i="1"/>
  <c r="CL58" i="1"/>
  <c r="CL57" i="1"/>
  <c r="CL56" i="1"/>
  <c r="CL55" i="1"/>
  <c r="CL54" i="1"/>
  <c r="CL53" i="1"/>
  <c r="CL52" i="1"/>
  <c r="CL51" i="1"/>
  <c r="CL50" i="1"/>
  <c r="CL49" i="1"/>
  <c r="CL48" i="1"/>
  <c r="CL47" i="1"/>
  <c r="CL46" i="1"/>
  <c r="CL45" i="1"/>
  <c r="CL44" i="1"/>
  <c r="CL43" i="1"/>
  <c r="CL42" i="1"/>
  <c r="CL41" i="1"/>
  <c r="CL40" i="1"/>
  <c r="CL39" i="1"/>
  <c r="CL38" i="1"/>
  <c r="CL37" i="1"/>
  <c r="CL36" i="1"/>
  <c r="CL35" i="1"/>
  <c r="CL34" i="1"/>
  <c r="CL33" i="1"/>
  <c r="CL32" i="1"/>
  <c r="CL31" i="1"/>
  <c r="CL30" i="1"/>
  <c r="CL29" i="1"/>
  <c r="CL28" i="1"/>
  <c r="CL27" i="1"/>
  <c r="CL26" i="1"/>
  <c r="CL25" i="1"/>
  <c r="CL24" i="1"/>
  <c r="CL23" i="1"/>
  <c r="CL22" i="1"/>
  <c r="CL21" i="1"/>
  <c r="CL20" i="1"/>
  <c r="CL19" i="1"/>
  <c r="CL18" i="1"/>
  <c r="CL17" i="1"/>
  <c r="CL16" i="1"/>
  <c r="CL15" i="1"/>
  <c r="CL14" i="1"/>
  <c r="CL13" i="1"/>
  <c r="CL12" i="1"/>
  <c r="CL11" i="1"/>
  <c r="CL10" i="1"/>
  <c r="CL9" i="1"/>
  <c r="CL8" i="1"/>
  <c r="CL7" i="1"/>
  <c r="CL6" i="1"/>
  <c r="CL5" i="1"/>
  <c r="CL4" i="1"/>
  <c r="CH76" i="1"/>
  <c r="CH75" i="1"/>
  <c r="CH74" i="1"/>
  <c r="CH73" i="1"/>
  <c r="CH72" i="1"/>
  <c r="CH71" i="1"/>
  <c r="CH70" i="1"/>
  <c r="CH69" i="1"/>
  <c r="CH68" i="1"/>
  <c r="CH67" i="1"/>
  <c r="CH66" i="1"/>
  <c r="CH65" i="1"/>
  <c r="CH64" i="1"/>
  <c r="CH63" i="1"/>
  <c r="CH62" i="1"/>
  <c r="CH61" i="1"/>
  <c r="CH60" i="1"/>
  <c r="CH59" i="1"/>
  <c r="CH58" i="1"/>
  <c r="CH57" i="1"/>
  <c r="CH56" i="1"/>
  <c r="CH55" i="1"/>
  <c r="CH54" i="1"/>
  <c r="CH53" i="1"/>
  <c r="CH52" i="1"/>
  <c r="CH51" i="1"/>
  <c r="CH50" i="1"/>
  <c r="CH49" i="1"/>
  <c r="CH48" i="1"/>
  <c r="CH47" i="1"/>
  <c r="CH46" i="1"/>
  <c r="CH45" i="1"/>
  <c r="CH44" i="1"/>
  <c r="CH43" i="1"/>
  <c r="CH42" i="1"/>
  <c r="CH41" i="1"/>
  <c r="CH40" i="1"/>
  <c r="CH39" i="1"/>
  <c r="CH38" i="1"/>
  <c r="CH37" i="1"/>
  <c r="CH36" i="1"/>
  <c r="CH35" i="1"/>
  <c r="CH34" i="1"/>
  <c r="CH33" i="1"/>
  <c r="CH32" i="1"/>
  <c r="CH31" i="1"/>
  <c r="CH30" i="1"/>
  <c r="CH29" i="1"/>
  <c r="CH28" i="1"/>
  <c r="CH27" i="1"/>
  <c r="CH26" i="1"/>
  <c r="CH25" i="1"/>
  <c r="CH24" i="1"/>
  <c r="CH23" i="1"/>
  <c r="CH22" i="1"/>
  <c r="CH21" i="1"/>
  <c r="CH20" i="1"/>
  <c r="CH19" i="1"/>
  <c r="CH18" i="1"/>
  <c r="CH17" i="1"/>
  <c r="CH16" i="1"/>
  <c r="CH15" i="1"/>
  <c r="CH14" i="1"/>
  <c r="CH13" i="1"/>
  <c r="CH12" i="1"/>
  <c r="CH11" i="1"/>
  <c r="CH10" i="1"/>
  <c r="CH9" i="1"/>
  <c r="CH8" i="1"/>
  <c r="CH7" i="1"/>
  <c r="CH6" i="1"/>
  <c r="CH5" i="1"/>
  <c r="CH4" i="1"/>
  <c r="CD76" i="1"/>
  <c r="CD75" i="1"/>
  <c r="CD74" i="1"/>
  <c r="CD73" i="1"/>
  <c r="CD72" i="1"/>
  <c r="CD71" i="1"/>
  <c r="CD70" i="1"/>
  <c r="CD69" i="1"/>
  <c r="CD68" i="1"/>
  <c r="CD67" i="1"/>
  <c r="CD66" i="1"/>
  <c r="CD65" i="1"/>
  <c r="CD64" i="1"/>
  <c r="CD63" i="1"/>
  <c r="CD62" i="1"/>
  <c r="CD61" i="1"/>
  <c r="CD60" i="1"/>
  <c r="CD59" i="1"/>
  <c r="CD58" i="1"/>
  <c r="CD57" i="1"/>
  <c r="CD56" i="1"/>
  <c r="CD55" i="1"/>
  <c r="CD54" i="1"/>
  <c r="CD53" i="1"/>
  <c r="CD52" i="1"/>
  <c r="CD51" i="1"/>
  <c r="CD50" i="1"/>
  <c r="CD49" i="1"/>
  <c r="CD48" i="1"/>
  <c r="CD47" i="1"/>
  <c r="CD46" i="1"/>
  <c r="CD45" i="1"/>
  <c r="CD44" i="1"/>
  <c r="CD43" i="1"/>
  <c r="CD42" i="1"/>
  <c r="CD41" i="1"/>
  <c r="CD40" i="1"/>
  <c r="CD39" i="1"/>
  <c r="CD38" i="1"/>
  <c r="CD37" i="1"/>
  <c r="CD36" i="1"/>
  <c r="CD35" i="1"/>
  <c r="CD34" i="1"/>
  <c r="CD33" i="1"/>
  <c r="CD32" i="1"/>
  <c r="CD31" i="1"/>
  <c r="CD30" i="1"/>
  <c r="CD29" i="1"/>
  <c r="CD28" i="1"/>
  <c r="CD27" i="1"/>
  <c r="CD26" i="1"/>
  <c r="CD25" i="1"/>
  <c r="CD24" i="1"/>
  <c r="CD23" i="1"/>
  <c r="CD22" i="1"/>
  <c r="CD21" i="1"/>
  <c r="CD20" i="1"/>
  <c r="CD19" i="1"/>
  <c r="CD18" i="1"/>
  <c r="CD17" i="1"/>
  <c r="CD16" i="1"/>
  <c r="CD15" i="1"/>
  <c r="CD14" i="1"/>
  <c r="CD13" i="1"/>
  <c r="CD12" i="1"/>
  <c r="CD11" i="1"/>
  <c r="CD10" i="1"/>
  <c r="CD9" i="1"/>
  <c r="CD8" i="1"/>
  <c r="CD7" i="1"/>
  <c r="CD6" i="1"/>
  <c r="CD5" i="1"/>
  <c r="CD4" i="1"/>
  <c r="BZ76" i="1"/>
  <c r="BZ75" i="1"/>
  <c r="BZ74" i="1"/>
  <c r="BZ73" i="1"/>
  <c r="BZ72" i="1"/>
  <c r="BZ71" i="1"/>
  <c r="BZ70" i="1"/>
  <c r="BZ69" i="1"/>
  <c r="BZ68" i="1"/>
  <c r="BZ67" i="1"/>
  <c r="BZ66" i="1"/>
  <c r="BZ65" i="1"/>
  <c r="BZ64" i="1"/>
  <c r="BZ63" i="1"/>
  <c r="BZ62" i="1"/>
  <c r="BZ61" i="1"/>
  <c r="BZ60" i="1"/>
  <c r="BZ59" i="1"/>
  <c r="BZ58" i="1"/>
  <c r="BZ57" i="1"/>
  <c r="BZ56" i="1"/>
  <c r="BZ55" i="1"/>
  <c r="BZ54" i="1"/>
  <c r="BZ53" i="1"/>
  <c r="BZ52" i="1"/>
  <c r="BZ51" i="1"/>
  <c r="BZ50" i="1"/>
  <c r="BZ49" i="1"/>
  <c r="BZ48" i="1"/>
  <c r="BZ47" i="1"/>
  <c r="BZ46" i="1"/>
  <c r="BZ45" i="1"/>
  <c r="BZ44" i="1"/>
  <c r="BZ43" i="1"/>
  <c r="BZ42" i="1"/>
  <c r="BZ41" i="1"/>
  <c r="BZ40" i="1"/>
  <c r="BZ39" i="1"/>
  <c r="BZ38" i="1"/>
  <c r="BZ37" i="1"/>
  <c r="BZ36" i="1"/>
  <c r="BZ35" i="1"/>
  <c r="BZ34" i="1"/>
  <c r="BZ33" i="1"/>
  <c r="BZ32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9" i="1"/>
  <c r="BZ18" i="1"/>
  <c r="BZ17" i="1"/>
  <c r="BZ16" i="1"/>
  <c r="BZ15" i="1"/>
  <c r="BZ14" i="1"/>
  <c r="BZ13" i="1"/>
  <c r="BZ12" i="1"/>
  <c r="BZ11" i="1"/>
  <c r="BZ10" i="1"/>
  <c r="BZ9" i="1"/>
  <c r="BZ8" i="1"/>
  <c r="BZ7" i="1"/>
  <c r="BZ6" i="1"/>
  <c r="BZ5" i="1"/>
  <c r="BV76" i="1"/>
  <c r="BV75" i="1"/>
  <c r="BV74" i="1"/>
  <c r="BV73" i="1"/>
  <c r="BV72" i="1"/>
  <c r="BV71" i="1"/>
  <c r="BV70" i="1"/>
  <c r="BV69" i="1"/>
  <c r="BV68" i="1"/>
  <c r="BV67" i="1"/>
  <c r="BV66" i="1"/>
  <c r="BV65" i="1"/>
  <c r="BV64" i="1"/>
  <c r="BV63" i="1"/>
  <c r="BV62" i="1"/>
  <c r="BV61" i="1"/>
  <c r="BV60" i="1"/>
  <c r="BV59" i="1"/>
  <c r="BV58" i="1"/>
  <c r="BV57" i="1"/>
  <c r="BV56" i="1"/>
  <c r="BV55" i="1"/>
  <c r="BV54" i="1"/>
  <c r="BV53" i="1"/>
  <c r="BV52" i="1"/>
  <c r="BV51" i="1"/>
  <c r="BV50" i="1"/>
  <c r="BV49" i="1"/>
  <c r="BV48" i="1"/>
  <c r="BV47" i="1"/>
  <c r="BV46" i="1"/>
  <c r="BV45" i="1"/>
  <c r="BV44" i="1"/>
  <c r="BV43" i="1"/>
  <c r="BV42" i="1"/>
  <c r="BV41" i="1"/>
  <c r="BV40" i="1"/>
  <c r="BV39" i="1"/>
  <c r="BV38" i="1"/>
  <c r="BV37" i="1"/>
  <c r="BV36" i="1"/>
  <c r="BV35" i="1"/>
  <c r="BV34" i="1"/>
  <c r="BV33" i="1"/>
  <c r="BV32" i="1"/>
  <c r="BV31" i="1"/>
  <c r="BV30" i="1"/>
  <c r="BV29" i="1"/>
  <c r="BV28" i="1"/>
  <c r="BV27" i="1"/>
  <c r="BV26" i="1"/>
  <c r="BV25" i="1"/>
  <c r="BV24" i="1"/>
  <c r="BV23" i="1"/>
  <c r="BV22" i="1"/>
  <c r="BV21" i="1"/>
  <c r="BV20" i="1"/>
  <c r="BV19" i="1"/>
  <c r="BV18" i="1"/>
  <c r="BV17" i="1"/>
  <c r="BV16" i="1"/>
  <c r="BV15" i="1"/>
  <c r="BV14" i="1"/>
  <c r="BV13" i="1"/>
  <c r="BV12" i="1"/>
  <c r="BV11" i="1"/>
  <c r="BV10" i="1"/>
  <c r="BV9" i="1"/>
  <c r="BV8" i="1"/>
  <c r="BV7" i="1"/>
  <c r="BV6" i="1"/>
  <c r="BV5" i="1"/>
  <c r="BV4" i="1"/>
  <c r="BS4" i="1"/>
  <c r="BS5" i="1"/>
  <c r="BS6" i="1"/>
  <c r="BS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P76" i="1"/>
  <c r="BP75" i="1"/>
  <c r="BP74" i="1"/>
  <c r="BP73" i="1"/>
  <c r="BP72" i="1"/>
  <c r="BP71" i="1"/>
  <c r="BP70" i="1"/>
  <c r="BP69" i="1"/>
  <c r="BP68" i="1"/>
  <c r="BP67" i="1"/>
  <c r="BP66" i="1"/>
  <c r="BP65" i="1"/>
  <c r="BP64" i="1"/>
  <c r="BP63" i="1"/>
  <c r="BP62" i="1"/>
  <c r="BP61" i="1"/>
  <c r="BP60" i="1"/>
  <c r="BP59" i="1"/>
  <c r="BP58" i="1"/>
  <c r="BP57" i="1"/>
  <c r="BP56" i="1"/>
  <c r="BP55" i="1"/>
  <c r="BP54" i="1"/>
  <c r="BP53" i="1"/>
  <c r="BP52" i="1"/>
  <c r="BP51" i="1"/>
  <c r="BP50" i="1"/>
  <c r="BP49" i="1"/>
  <c r="BP48" i="1"/>
  <c r="BP47" i="1"/>
  <c r="BP46" i="1"/>
  <c r="BP45" i="1"/>
  <c r="BP44" i="1"/>
  <c r="BP43" i="1"/>
  <c r="BP42" i="1"/>
  <c r="BP41" i="1"/>
  <c r="BP40" i="1"/>
  <c r="BP39" i="1"/>
  <c r="BP38" i="1"/>
  <c r="BP37" i="1"/>
  <c r="BP36" i="1"/>
  <c r="BP35" i="1"/>
  <c r="BP34" i="1"/>
  <c r="BP33" i="1"/>
  <c r="BP32" i="1"/>
  <c r="BP31" i="1"/>
  <c r="BP30" i="1"/>
  <c r="BP29" i="1"/>
  <c r="BP28" i="1"/>
  <c r="BP27" i="1"/>
  <c r="BP26" i="1"/>
  <c r="BP25" i="1"/>
  <c r="BP24" i="1"/>
  <c r="BP23" i="1"/>
  <c r="BP22" i="1"/>
  <c r="BP21" i="1"/>
  <c r="BP20" i="1"/>
  <c r="BP19" i="1"/>
  <c r="BP18" i="1"/>
  <c r="BP17" i="1"/>
  <c r="BP16" i="1"/>
  <c r="BP15" i="1"/>
  <c r="BP14" i="1"/>
  <c r="BP13" i="1"/>
  <c r="BP12" i="1"/>
  <c r="BP11" i="1"/>
  <c r="BP10" i="1"/>
  <c r="BP9" i="1"/>
  <c r="BP8" i="1"/>
  <c r="BP7" i="1"/>
  <c r="BP6" i="1"/>
  <c r="BP5" i="1"/>
  <c r="BM76" i="1"/>
  <c r="BM75" i="1"/>
  <c r="BM74" i="1"/>
  <c r="BM73" i="1"/>
  <c r="BM72" i="1"/>
  <c r="BM71" i="1"/>
  <c r="BM70" i="1"/>
  <c r="BM69" i="1"/>
  <c r="BM68" i="1"/>
  <c r="BM67" i="1"/>
  <c r="BM66" i="1"/>
  <c r="BM65" i="1"/>
  <c r="BM64" i="1"/>
  <c r="BM63" i="1"/>
  <c r="BM62" i="1"/>
  <c r="BM61" i="1"/>
  <c r="BM60" i="1"/>
  <c r="BM59" i="1"/>
  <c r="BM58" i="1"/>
  <c r="BM57" i="1"/>
  <c r="BM56" i="1"/>
  <c r="BM55" i="1"/>
  <c r="BM54" i="1"/>
  <c r="BM53" i="1"/>
  <c r="BM52" i="1"/>
  <c r="BM51" i="1"/>
  <c r="BM50" i="1"/>
  <c r="BM49" i="1"/>
  <c r="BM48" i="1"/>
  <c r="BM47" i="1"/>
  <c r="BM46" i="1"/>
  <c r="BM45" i="1"/>
  <c r="BM44" i="1"/>
  <c r="BM43" i="1"/>
  <c r="BM42" i="1"/>
  <c r="BM41" i="1"/>
  <c r="BM40" i="1"/>
  <c r="BM39" i="1"/>
  <c r="BM38" i="1"/>
  <c r="BM37" i="1"/>
  <c r="BM36" i="1"/>
  <c r="BM35" i="1"/>
  <c r="BM34" i="1"/>
  <c r="BM33" i="1"/>
  <c r="BM32" i="1"/>
  <c r="BM31" i="1"/>
  <c r="BM30" i="1"/>
  <c r="BM29" i="1"/>
  <c r="BM28" i="1"/>
  <c r="BM27" i="1"/>
  <c r="BM26" i="1"/>
  <c r="BM25" i="1"/>
  <c r="BM24" i="1"/>
  <c r="BM23" i="1"/>
  <c r="BM22" i="1"/>
  <c r="BM21" i="1"/>
  <c r="BM20" i="1"/>
  <c r="BM19" i="1"/>
  <c r="BM18" i="1"/>
  <c r="BM17" i="1"/>
  <c r="BM16" i="1"/>
  <c r="BM15" i="1"/>
  <c r="BM14" i="1"/>
  <c r="BM13" i="1"/>
  <c r="BM12" i="1"/>
  <c r="BM11" i="1"/>
  <c r="BM10" i="1"/>
  <c r="BM9" i="1"/>
  <c r="BM8" i="1"/>
  <c r="BM7" i="1"/>
  <c r="BM6" i="1"/>
  <c r="BM4" i="1"/>
  <c r="DZ40" i="1" l="1"/>
  <c r="DZ28" i="1"/>
  <c r="DZ44" i="1"/>
  <c r="DZ52" i="1"/>
  <c r="DZ60" i="1"/>
  <c r="DZ36" i="1"/>
  <c r="DZ20" i="1"/>
  <c r="DZ68" i="1"/>
  <c r="DY8" i="1"/>
  <c r="DY6" i="1"/>
  <c r="DZ64" i="1"/>
  <c r="DY10" i="1"/>
  <c r="DY14" i="1"/>
  <c r="DY18" i="1"/>
  <c r="DY22" i="1"/>
  <c r="DY26" i="1"/>
  <c r="DY30" i="1"/>
  <c r="DY34" i="1"/>
  <c r="DY38" i="1"/>
  <c r="DY42" i="1"/>
  <c r="DY46" i="1"/>
  <c r="DY50" i="1"/>
  <c r="DY54" i="1"/>
  <c r="DY58" i="1"/>
  <c r="DY62" i="1"/>
  <c r="DY66" i="1"/>
  <c r="DY70" i="1"/>
  <c r="DZ48" i="1"/>
  <c r="DY12" i="1"/>
  <c r="DY16" i="1"/>
  <c r="DY20" i="1"/>
  <c r="DY24" i="1"/>
  <c r="DY28" i="1"/>
  <c r="DY32" i="1"/>
  <c r="DY36" i="1"/>
  <c r="DZ12" i="1"/>
  <c r="DZ16" i="1"/>
  <c r="DZ72" i="1"/>
  <c r="DZ8" i="1"/>
  <c r="DZ24" i="1"/>
  <c r="DZ32" i="1"/>
  <c r="DZ56" i="1"/>
  <c r="DZ76" i="1"/>
  <c r="DZ15" i="1"/>
  <c r="DZ31" i="1"/>
  <c r="DZ35" i="1"/>
  <c r="DZ39" i="1"/>
  <c r="DZ43" i="1"/>
  <c r="DZ4" i="1"/>
  <c r="EA5" i="1"/>
  <c r="EA33" i="1"/>
  <c r="EA61" i="1"/>
  <c r="DZ7" i="1"/>
  <c r="DZ11" i="1"/>
  <c r="DZ19" i="1"/>
  <c r="DZ23" i="1"/>
  <c r="DZ27" i="1"/>
  <c r="DZ47" i="1"/>
  <c r="DZ51" i="1"/>
  <c r="DZ55" i="1"/>
  <c r="DZ59" i="1"/>
  <c r="DZ63" i="1"/>
  <c r="DZ67" i="1"/>
  <c r="DZ71" i="1"/>
  <c r="DZ75" i="1"/>
  <c r="DY17" i="1"/>
  <c r="DY37" i="1"/>
  <c r="DY57" i="1"/>
  <c r="DY73" i="1"/>
  <c r="EA18" i="1"/>
  <c r="EA30" i="1"/>
  <c r="EA50" i="1"/>
  <c r="EA22" i="1"/>
  <c r="EA6" i="1"/>
  <c r="EA14" i="1"/>
  <c r="EA26" i="1"/>
  <c r="EA34" i="1"/>
  <c r="EA38" i="1"/>
  <c r="DY40" i="1"/>
  <c r="DY44" i="1"/>
  <c r="EA46" i="1"/>
  <c r="DY48" i="1"/>
  <c r="DY52" i="1"/>
  <c r="DY56" i="1"/>
  <c r="EA58" i="1"/>
  <c r="DY60" i="1"/>
  <c r="DY64" i="1"/>
  <c r="EA66" i="1"/>
  <c r="DY68" i="1"/>
  <c r="EA70" i="1"/>
  <c r="DY72" i="1"/>
  <c r="DY76" i="1"/>
  <c r="EA10" i="1"/>
  <c r="EA42" i="1"/>
  <c r="EA62" i="1"/>
  <c r="EA74" i="1"/>
  <c r="DY4" i="1"/>
  <c r="DY7" i="1"/>
  <c r="DY11" i="1"/>
  <c r="DY15" i="1"/>
  <c r="DY19" i="1"/>
  <c r="DY23" i="1"/>
  <c r="DY27" i="1"/>
  <c r="DY31" i="1"/>
  <c r="DY35" i="1"/>
  <c r="DY39" i="1"/>
  <c r="DY43" i="1"/>
  <c r="DY47" i="1"/>
  <c r="DY51" i="1"/>
  <c r="DY55" i="1"/>
  <c r="DY59" i="1"/>
  <c r="DY63" i="1"/>
  <c r="DY67" i="1"/>
  <c r="DY71" i="1"/>
  <c r="DY75" i="1"/>
  <c r="EA54" i="1"/>
  <c r="EA53" i="1"/>
  <c r="EA21" i="1"/>
  <c r="EA25" i="1"/>
  <c r="EA13" i="1"/>
  <c r="EA45" i="1"/>
  <c r="EA4" i="1"/>
  <c r="EA8" i="1"/>
  <c r="EA12" i="1"/>
  <c r="EA16" i="1"/>
  <c r="EA20" i="1"/>
  <c r="EA24" i="1"/>
  <c r="EA28" i="1"/>
  <c r="EA32" i="1"/>
  <c r="EA36" i="1"/>
  <c r="EA40" i="1"/>
  <c r="EA44" i="1"/>
  <c r="EA48" i="1"/>
  <c r="EA52" i="1"/>
  <c r="EA56" i="1"/>
  <c r="EA60" i="1"/>
  <c r="EA64" i="1"/>
  <c r="EA68" i="1"/>
  <c r="EA72" i="1"/>
  <c r="EA76" i="1"/>
  <c r="DZ9" i="1"/>
  <c r="DZ29" i="1"/>
  <c r="DZ41" i="1"/>
  <c r="DZ49" i="1"/>
  <c r="DZ65" i="1"/>
  <c r="DZ69" i="1"/>
  <c r="DY74" i="1"/>
  <c r="DZ5" i="1"/>
  <c r="DZ17" i="1"/>
  <c r="DZ25" i="1"/>
  <c r="DZ37" i="1"/>
  <c r="DZ45" i="1"/>
  <c r="DZ57" i="1"/>
  <c r="DZ73" i="1"/>
  <c r="EA9" i="1"/>
  <c r="EA17" i="1"/>
  <c r="EA29" i="1"/>
  <c r="EA37" i="1"/>
  <c r="EA41" i="1"/>
  <c r="EA49" i="1"/>
  <c r="EA57" i="1"/>
  <c r="EA65" i="1"/>
  <c r="EA69" i="1"/>
  <c r="EA73" i="1"/>
  <c r="DY5" i="1"/>
  <c r="DZ6" i="1"/>
  <c r="EA7" i="1"/>
  <c r="DY9" i="1"/>
  <c r="DZ10" i="1"/>
  <c r="EA11" i="1"/>
  <c r="DY13" i="1"/>
  <c r="DZ14" i="1"/>
  <c r="EA15" i="1"/>
  <c r="DZ18" i="1"/>
  <c r="EA19" i="1"/>
  <c r="DY21" i="1"/>
  <c r="DZ22" i="1"/>
  <c r="EA23" i="1"/>
  <c r="DY25" i="1"/>
  <c r="DZ26" i="1"/>
  <c r="EA27" i="1"/>
  <c r="DY29" i="1"/>
  <c r="DZ30" i="1"/>
  <c r="EA31" i="1"/>
  <c r="DY33" i="1"/>
  <c r="DZ34" i="1"/>
  <c r="EA35" i="1"/>
  <c r="DZ38" i="1"/>
  <c r="EA39" i="1"/>
  <c r="DY41" i="1"/>
  <c r="DZ42" i="1"/>
  <c r="EA43" i="1"/>
  <c r="DY45" i="1"/>
  <c r="DZ46" i="1"/>
  <c r="EA47" i="1"/>
  <c r="DY49" i="1"/>
  <c r="DZ50" i="1"/>
  <c r="EA51" i="1"/>
  <c r="DY53" i="1"/>
  <c r="DZ54" i="1"/>
  <c r="EA55" i="1"/>
  <c r="DZ58" i="1"/>
  <c r="EA59" i="1"/>
  <c r="DY61" i="1"/>
  <c r="DZ62" i="1"/>
  <c r="EA63" i="1"/>
  <c r="DY65" i="1"/>
  <c r="DZ66" i="1"/>
  <c r="EA67" i="1"/>
  <c r="DY69" i="1"/>
  <c r="DZ70" i="1"/>
  <c r="EA71" i="1"/>
  <c r="DZ74" i="1"/>
  <c r="EA75" i="1"/>
  <c r="DZ13" i="1"/>
  <c r="DZ21" i="1"/>
  <c r="DZ33" i="1"/>
  <c r="DZ53" i="1"/>
  <c r="DZ61" i="1"/>
  <c r="AP76" i="1" l="1"/>
  <c r="AP75" i="1"/>
  <c r="AP74" i="1"/>
  <c r="AP73" i="1"/>
  <c r="AP72" i="1"/>
  <c r="AP71" i="1"/>
  <c r="AP70" i="1"/>
  <c r="AP69" i="1"/>
  <c r="AP68" i="1"/>
  <c r="AP67" i="1"/>
  <c r="AP66" i="1"/>
  <c r="AP65" i="1"/>
  <c r="AP64" i="1"/>
  <c r="AP63" i="1"/>
  <c r="AP62" i="1"/>
  <c r="AP61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8" i="1"/>
  <c r="AP47" i="1"/>
  <c r="AP46" i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AP4" i="1"/>
  <c r="AN76" i="1"/>
  <c r="AN75" i="1"/>
  <c r="AN74" i="1"/>
  <c r="AN73" i="1"/>
  <c r="AN72" i="1"/>
  <c r="AN71" i="1"/>
  <c r="AN70" i="1"/>
  <c r="AN69" i="1"/>
  <c r="AN68" i="1"/>
  <c r="AN67" i="1"/>
  <c r="AN66" i="1"/>
  <c r="AN65" i="1"/>
  <c r="AN64" i="1"/>
  <c r="AN63" i="1"/>
  <c r="AN62" i="1"/>
  <c r="AN61" i="1"/>
  <c r="AN60" i="1"/>
  <c r="AN59" i="1"/>
  <c r="AN58" i="1"/>
  <c r="AN57" i="1"/>
  <c r="AN56" i="1"/>
  <c r="AN55" i="1"/>
  <c r="AN54" i="1"/>
  <c r="AN53" i="1"/>
  <c r="AN52" i="1"/>
  <c r="AN51" i="1"/>
  <c r="AN50" i="1"/>
  <c r="AN49" i="1"/>
  <c r="AN48" i="1"/>
  <c r="AN47" i="1"/>
  <c r="AN46" i="1"/>
  <c r="AN45" i="1"/>
  <c r="AN44" i="1"/>
  <c r="AN43" i="1"/>
  <c r="AN42" i="1"/>
  <c r="AN41" i="1"/>
  <c r="AN40" i="1"/>
  <c r="AN39" i="1"/>
  <c r="AN38" i="1"/>
  <c r="AN37" i="1"/>
  <c r="AN36" i="1"/>
  <c r="AN35" i="1"/>
  <c r="AN34" i="1"/>
  <c r="AN33" i="1"/>
  <c r="AN32" i="1"/>
  <c r="AN31" i="1"/>
  <c r="AN30" i="1"/>
  <c r="AN29" i="1"/>
  <c r="AN28" i="1"/>
  <c r="AN27" i="1"/>
  <c r="AN26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N10" i="1"/>
  <c r="AN9" i="1"/>
  <c r="AN8" i="1"/>
  <c r="AN7" i="1"/>
  <c r="AN6" i="1"/>
  <c r="AN5" i="1"/>
  <c r="AN4" i="1"/>
  <c r="AL76" i="1"/>
  <c r="AL75" i="1"/>
  <c r="AL74" i="1"/>
  <c r="AL73" i="1"/>
  <c r="AL72" i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AL6" i="1"/>
  <c r="AL5" i="1"/>
  <c r="AL4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J5" i="1"/>
  <c r="AJ4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E6" i="1"/>
  <c r="AE5" i="1"/>
  <c r="AE4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AH76" i="1"/>
  <c r="AH75" i="1"/>
  <c r="AH74" i="1"/>
  <c r="AH73" i="1"/>
  <c r="AH72" i="1"/>
  <c r="AH71" i="1"/>
  <c r="AH70" i="1"/>
  <c r="AH69" i="1"/>
  <c r="AH68" i="1"/>
  <c r="AH67" i="1"/>
  <c r="AH66" i="1"/>
  <c r="AH65" i="1"/>
  <c r="AH64" i="1"/>
  <c r="AH63" i="1"/>
  <c r="AH62" i="1"/>
  <c r="AH61" i="1"/>
  <c r="AH60" i="1"/>
  <c r="AH59" i="1"/>
  <c r="AH58" i="1"/>
  <c r="AH57" i="1"/>
  <c r="AH56" i="1"/>
  <c r="AH55" i="1"/>
  <c r="AH54" i="1"/>
  <c r="AH53" i="1"/>
  <c r="AH52" i="1"/>
  <c r="AH51" i="1"/>
  <c r="AH50" i="1"/>
  <c r="AH49" i="1"/>
  <c r="AH48" i="1"/>
  <c r="AH47" i="1"/>
  <c r="AH46" i="1"/>
  <c r="AH45" i="1"/>
  <c r="AH44" i="1"/>
  <c r="AH43" i="1"/>
  <c r="AH42" i="1"/>
  <c r="AH41" i="1"/>
  <c r="AH40" i="1"/>
  <c r="AH39" i="1"/>
  <c r="AH3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  <c r="AH5" i="1"/>
  <c r="AZ76" i="1"/>
  <c r="AZ75" i="1"/>
  <c r="AZ74" i="1"/>
  <c r="AZ73" i="1"/>
  <c r="AZ72" i="1"/>
  <c r="AZ71" i="1"/>
  <c r="AZ70" i="1"/>
  <c r="AZ69" i="1"/>
  <c r="AZ68" i="1"/>
  <c r="AZ67" i="1"/>
  <c r="AZ66" i="1"/>
  <c r="AZ65" i="1"/>
  <c r="AZ64" i="1"/>
  <c r="AZ63" i="1"/>
  <c r="AZ62" i="1"/>
  <c r="AZ61" i="1"/>
  <c r="AZ60" i="1"/>
  <c r="AZ59" i="1"/>
  <c r="AZ58" i="1"/>
  <c r="AZ57" i="1"/>
  <c r="AZ56" i="1"/>
  <c r="AZ55" i="1"/>
  <c r="AZ54" i="1"/>
  <c r="AZ53" i="1"/>
  <c r="AZ52" i="1"/>
  <c r="AZ51" i="1"/>
  <c r="AZ50" i="1"/>
  <c r="AZ49" i="1"/>
  <c r="AZ48" i="1"/>
  <c r="AZ47" i="1"/>
  <c r="AZ46" i="1"/>
  <c r="AZ45" i="1"/>
  <c r="AZ44" i="1"/>
  <c r="AZ43" i="1"/>
  <c r="AZ42" i="1"/>
  <c r="AZ41" i="1"/>
  <c r="AZ40" i="1"/>
  <c r="AZ39" i="1"/>
  <c r="AZ38" i="1"/>
  <c r="AZ37" i="1"/>
  <c r="AZ36" i="1"/>
  <c r="AZ35" i="1"/>
  <c r="AZ34" i="1"/>
  <c r="AZ33" i="1"/>
  <c r="AZ32" i="1"/>
  <c r="AZ31" i="1"/>
  <c r="AZ30" i="1"/>
  <c r="AZ29" i="1"/>
  <c r="AZ28" i="1"/>
  <c r="AZ27" i="1"/>
  <c r="AZ26" i="1"/>
  <c r="AZ25" i="1"/>
  <c r="AZ24" i="1"/>
  <c r="AZ23" i="1"/>
  <c r="AZ22" i="1"/>
  <c r="AZ21" i="1"/>
  <c r="AZ20" i="1"/>
  <c r="AZ19" i="1"/>
  <c r="AZ18" i="1"/>
  <c r="AZ17" i="1"/>
  <c r="AZ16" i="1"/>
  <c r="AZ15" i="1"/>
  <c r="AZ14" i="1"/>
  <c r="AZ13" i="1"/>
  <c r="AZ12" i="1"/>
  <c r="AZ11" i="1"/>
  <c r="AZ10" i="1"/>
  <c r="AZ9" i="1"/>
  <c r="AZ8" i="1"/>
  <c r="AZ7" i="1"/>
  <c r="AZ6" i="1"/>
  <c r="AZ5" i="1"/>
  <c r="AZ4" i="1"/>
  <c r="AX76" i="1"/>
  <c r="AX75" i="1"/>
  <c r="AX74" i="1"/>
  <c r="AX73" i="1"/>
  <c r="AX72" i="1"/>
  <c r="AX71" i="1"/>
  <c r="AX70" i="1"/>
  <c r="AX69" i="1"/>
  <c r="AX68" i="1"/>
  <c r="AX67" i="1"/>
  <c r="AX66" i="1"/>
  <c r="AX65" i="1"/>
  <c r="AX64" i="1"/>
  <c r="AX63" i="1"/>
  <c r="AX62" i="1"/>
  <c r="AX61" i="1"/>
  <c r="AX60" i="1"/>
  <c r="AX59" i="1"/>
  <c r="AX58" i="1"/>
  <c r="AX57" i="1"/>
  <c r="AX56" i="1"/>
  <c r="AX55" i="1"/>
  <c r="AX54" i="1"/>
  <c r="AX53" i="1"/>
  <c r="AX52" i="1"/>
  <c r="AX51" i="1"/>
  <c r="AX50" i="1"/>
  <c r="AX49" i="1"/>
  <c r="AX48" i="1"/>
  <c r="AX47" i="1"/>
  <c r="AX46" i="1"/>
  <c r="AX45" i="1"/>
  <c r="AX44" i="1"/>
  <c r="AX43" i="1"/>
  <c r="AX42" i="1"/>
  <c r="AX41" i="1"/>
  <c r="AX40" i="1"/>
  <c r="AX39" i="1"/>
  <c r="AX38" i="1"/>
  <c r="AX37" i="1"/>
  <c r="AX36" i="1"/>
  <c r="AX35" i="1"/>
  <c r="AX34" i="1"/>
  <c r="AX33" i="1"/>
  <c r="AX32" i="1"/>
  <c r="AX31" i="1"/>
  <c r="AX30" i="1"/>
  <c r="AX29" i="1"/>
  <c r="AX28" i="1"/>
  <c r="AX27" i="1"/>
  <c r="AX26" i="1"/>
  <c r="AX25" i="1"/>
  <c r="AX24" i="1"/>
  <c r="AX23" i="1"/>
  <c r="AX22" i="1"/>
  <c r="AX21" i="1"/>
  <c r="AX20" i="1"/>
  <c r="AX19" i="1"/>
  <c r="AX18" i="1"/>
  <c r="AX17" i="1"/>
  <c r="AX16" i="1"/>
  <c r="AX15" i="1"/>
  <c r="AX14" i="1"/>
  <c r="AX13" i="1"/>
  <c r="AX12" i="1"/>
  <c r="AX11" i="1"/>
  <c r="AX10" i="1"/>
  <c r="AX9" i="1"/>
  <c r="AX8" i="1"/>
  <c r="AX7" i="1"/>
  <c r="AX6" i="1"/>
  <c r="AX5" i="1"/>
  <c r="AX4" i="1"/>
  <c r="AV76" i="1"/>
  <c r="AV75" i="1"/>
  <c r="AV74" i="1"/>
  <c r="AV73" i="1"/>
  <c r="AV72" i="1"/>
  <c r="AV71" i="1"/>
  <c r="AV70" i="1"/>
  <c r="AV69" i="1"/>
  <c r="AV68" i="1"/>
  <c r="AV67" i="1"/>
  <c r="AV66" i="1"/>
  <c r="AV65" i="1"/>
  <c r="AV64" i="1"/>
  <c r="AV63" i="1"/>
  <c r="AV62" i="1"/>
  <c r="AV61" i="1"/>
  <c r="AV60" i="1"/>
  <c r="AV59" i="1"/>
  <c r="AV58" i="1"/>
  <c r="AV57" i="1"/>
  <c r="AV56" i="1"/>
  <c r="AV55" i="1"/>
  <c r="AV54" i="1"/>
  <c r="AV53" i="1"/>
  <c r="AV52" i="1"/>
  <c r="AV51" i="1"/>
  <c r="AV50" i="1"/>
  <c r="AV49" i="1"/>
  <c r="AV48" i="1"/>
  <c r="AV47" i="1"/>
  <c r="AV46" i="1"/>
  <c r="AV45" i="1"/>
  <c r="AV44" i="1"/>
  <c r="AV43" i="1"/>
  <c r="AV42" i="1"/>
  <c r="AV41" i="1"/>
  <c r="AV40" i="1"/>
  <c r="AV39" i="1"/>
  <c r="AV38" i="1"/>
  <c r="AV37" i="1"/>
  <c r="AV36" i="1"/>
  <c r="AV35" i="1"/>
  <c r="AV34" i="1"/>
  <c r="AV33" i="1"/>
  <c r="AV32" i="1"/>
  <c r="AV31" i="1"/>
  <c r="AV30" i="1"/>
  <c r="AV29" i="1"/>
  <c r="AV28" i="1"/>
  <c r="AV27" i="1"/>
  <c r="AV26" i="1"/>
  <c r="AV25" i="1"/>
  <c r="AV24" i="1"/>
  <c r="AV23" i="1"/>
  <c r="AV22" i="1"/>
  <c r="AV21" i="1"/>
  <c r="AV20" i="1"/>
  <c r="AV19" i="1"/>
  <c r="AV18" i="1"/>
  <c r="AV17" i="1"/>
  <c r="AV16" i="1"/>
  <c r="AV15" i="1"/>
  <c r="AV14" i="1"/>
  <c r="AV13" i="1"/>
  <c r="AV12" i="1"/>
  <c r="AV11" i="1"/>
  <c r="AV10" i="1"/>
  <c r="AV9" i="1"/>
  <c r="AV8" i="1"/>
  <c r="AV7" i="1"/>
  <c r="AV6" i="1"/>
  <c r="AV5" i="1"/>
  <c r="AV4" i="1"/>
  <c r="AT76" i="1"/>
  <c r="AT75" i="1"/>
  <c r="AT74" i="1"/>
  <c r="AT73" i="1"/>
  <c r="AT72" i="1"/>
  <c r="AT71" i="1"/>
  <c r="AT70" i="1"/>
  <c r="AT69" i="1"/>
  <c r="AT68" i="1"/>
  <c r="AT67" i="1"/>
  <c r="AT66" i="1"/>
  <c r="AT65" i="1"/>
  <c r="AT64" i="1"/>
  <c r="AT63" i="1"/>
  <c r="AT62" i="1"/>
  <c r="AT61" i="1"/>
  <c r="AT60" i="1"/>
  <c r="AT59" i="1"/>
  <c r="AT58" i="1"/>
  <c r="AT57" i="1"/>
  <c r="AT56" i="1"/>
  <c r="AT55" i="1"/>
  <c r="AT54" i="1"/>
  <c r="AT53" i="1"/>
  <c r="AT52" i="1"/>
  <c r="AT51" i="1"/>
  <c r="AT50" i="1"/>
  <c r="AT49" i="1"/>
  <c r="AT48" i="1"/>
  <c r="AT47" i="1"/>
  <c r="AT46" i="1"/>
  <c r="AT45" i="1"/>
  <c r="AT44" i="1"/>
  <c r="AT43" i="1"/>
  <c r="AT42" i="1"/>
  <c r="AT41" i="1"/>
  <c r="AT40" i="1"/>
  <c r="AT39" i="1"/>
  <c r="AT38" i="1"/>
  <c r="AT37" i="1"/>
  <c r="AT36" i="1"/>
  <c r="AT35" i="1"/>
  <c r="AT34" i="1"/>
  <c r="AT33" i="1"/>
  <c r="AT32" i="1"/>
  <c r="AT31" i="1"/>
  <c r="AT30" i="1"/>
  <c r="AT29" i="1"/>
  <c r="AT28" i="1"/>
  <c r="AT27" i="1"/>
  <c r="AT26" i="1"/>
  <c r="AT25" i="1"/>
  <c r="AT24" i="1"/>
  <c r="AT23" i="1"/>
  <c r="AT22" i="1"/>
  <c r="AT21" i="1"/>
  <c r="AT20" i="1"/>
  <c r="AT19" i="1"/>
  <c r="AT18" i="1"/>
  <c r="AT17" i="1"/>
  <c r="AT16" i="1"/>
  <c r="AT15" i="1"/>
  <c r="AT14" i="1"/>
  <c r="AT13" i="1"/>
  <c r="AT12" i="1"/>
  <c r="AT11" i="1"/>
  <c r="AT10" i="1"/>
  <c r="AT9" i="1"/>
  <c r="AT8" i="1"/>
  <c r="AT7" i="1"/>
  <c r="AT6" i="1"/>
  <c r="AT5" i="1"/>
  <c r="AT4" i="1"/>
  <c r="AR76" i="1"/>
  <c r="AR75" i="1"/>
  <c r="AR74" i="1"/>
  <c r="AR73" i="1"/>
  <c r="AR72" i="1"/>
  <c r="AR71" i="1"/>
  <c r="AR70" i="1"/>
  <c r="AR69" i="1"/>
  <c r="AR68" i="1"/>
  <c r="AR67" i="1"/>
  <c r="AR66" i="1"/>
  <c r="AR65" i="1"/>
  <c r="AR64" i="1"/>
  <c r="AR63" i="1"/>
  <c r="AR62" i="1"/>
  <c r="AR61" i="1"/>
  <c r="AR60" i="1"/>
  <c r="AR59" i="1"/>
  <c r="AR58" i="1"/>
  <c r="AR57" i="1"/>
  <c r="AR56" i="1"/>
  <c r="AR55" i="1"/>
  <c r="AR54" i="1"/>
  <c r="AR53" i="1"/>
  <c r="AR52" i="1"/>
  <c r="AR51" i="1"/>
  <c r="AR50" i="1"/>
  <c r="AR49" i="1"/>
  <c r="AR48" i="1"/>
  <c r="AR47" i="1"/>
  <c r="AR46" i="1"/>
  <c r="AR45" i="1"/>
  <c r="AR44" i="1"/>
  <c r="AR43" i="1"/>
  <c r="AR42" i="1"/>
  <c r="AR41" i="1"/>
  <c r="AR40" i="1"/>
  <c r="AR39" i="1"/>
  <c r="AR38" i="1"/>
  <c r="AR37" i="1"/>
  <c r="AR36" i="1"/>
  <c r="AR35" i="1"/>
  <c r="AR34" i="1"/>
  <c r="AR33" i="1"/>
  <c r="AR32" i="1"/>
  <c r="AR31" i="1"/>
  <c r="AR30" i="1"/>
  <c r="AR29" i="1"/>
  <c r="AR28" i="1"/>
  <c r="AR27" i="1"/>
  <c r="AR26" i="1"/>
  <c r="AR25" i="1"/>
  <c r="AR24" i="1"/>
  <c r="AR23" i="1"/>
  <c r="AR22" i="1"/>
  <c r="AR21" i="1"/>
  <c r="AR20" i="1"/>
  <c r="AR19" i="1"/>
  <c r="AR18" i="1"/>
  <c r="AR17" i="1"/>
  <c r="AR16" i="1"/>
  <c r="AR15" i="1"/>
  <c r="AR14" i="1"/>
  <c r="AR13" i="1"/>
  <c r="AR12" i="1"/>
  <c r="AR11" i="1"/>
  <c r="AR10" i="1"/>
  <c r="AR9" i="1"/>
  <c r="AR8" i="1"/>
  <c r="AR7" i="1"/>
  <c r="AR6" i="1"/>
  <c r="AR5" i="1"/>
  <c r="AR4" i="1"/>
  <c r="AQ76" i="1"/>
  <c r="AQ75" i="1"/>
  <c r="AQ74" i="1"/>
  <c r="AQ73" i="1"/>
  <c r="AQ72" i="1"/>
  <c r="AQ71" i="1"/>
  <c r="AQ70" i="1"/>
  <c r="AQ69" i="1"/>
  <c r="AQ68" i="1"/>
  <c r="AQ67" i="1"/>
  <c r="AQ66" i="1"/>
  <c r="AQ65" i="1"/>
  <c r="AQ64" i="1"/>
  <c r="AQ63" i="1"/>
  <c r="AQ62" i="1"/>
  <c r="AQ61" i="1"/>
  <c r="AQ60" i="1"/>
  <c r="AQ59" i="1"/>
  <c r="AQ58" i="1"/>
  <c r="AQ57" i="1"/>
  <c r="AQ56" i="1"/>
  <c r="AQ55" i="1"/>
  <c r="AQ54" i="1"/>
  <c r="AQ53" i="1"/>
  <c r="AQ52" i="1"/>
  <c r="AQ51" i="1"/>
  <c r="AQ50" i="1"/>
  <c r="AY50" i="1" s="1"/>
  <c r="AQ49" i="1"/>
  <c r="AQ48" i="1"/>
  <c r="AQ47" i="1"/>
  <c r="AQ46" i="1"/>
  <c r="AQ45" i="1"/>
  <c r="AQ44" i="1"/>
  <c r="AQ43" i="1"/>
  <c r="AQ42" i="1"/>
  <c r="AY42" i="1" s="1"/>
  <c r="AQ41" i="1"/>
  <c r="AQ40" i="1"/>
  <c r="AQ39" i="1"/>
  <c r="AQ38" i="1"/>
  <c r="AQ37" i="1"/>
  <c r="AQ36" i="1"/>
  <c r="AQ35" i="1"/>
  <c r="AQ34" i="1"/>
  <c r="AY34" i="1" s="1"/>
  <c r="AQ33" i="1"/>
  <c r="AQ32" i="1"/>
  <c r="AQ31" i="1"/>
  <c r="AQ30" i="1"/>
  <c r="AQ29" i="1"/>
  <c r="AQ28" i="1"/>
  <c r="AQ27" i="1"/>
  <c r="AQ26" i="1"/>
  <c r="AY26" i="1" s="1"/>
  <c r="AQ25" i="1"/>
  <c r="AQ24" i="1"/>
  <c r="AQ23" i="1"/>
  <c r="AQ22" i="1"/>
  <c r="AQ21" i="1"/>
  <c r="AQ20" i="1"/>
  <c r="AQ19" i="1"/>
  <c r="AQ18" i="1"/>
  <c r="AY18" i="1" s="1"/>
  <c r="AQ17" i="1"/>
  <c r="AQ16" i="1"/>
  <c r="AQ15" i="1"/>
  <c r="AQ14" i="1"/>
  <c r="AQ13" i="1"/>
  <c r="AQ12" i="1"/>
  <c r="AQ11" i="1"/>
  <c r="AQ10" i="1"/>
  <c r="AY10" i="1" s="1"/>
  <c r="AQ9" i="1"/>
  <c r="AQ8" i="1"/>
  <c r="AQ7" i="1"/>
  <c r="AQ6" i="1"/>
  <c r="AQ5" i="1"/>
  <c r="AQ4" i="1"/>
  <c r="AY74" i="1" l="1"/>
  <c r="AY66" i="1"/>
  <c r="AY46" i="1"/>
  <c r="AY63" i="1"/>
  <c r="AY15" i="1"/>
  <c r="AY71" i="1"/>
  <c r="AY31" i="1"/>
  <c r="AY58" i="1"/>
  <c r="AU9" i="1"/>
  <c r="AU25" i="1"/>
  <c r="AU41" i="1"/>
  <c r="AU73" i="1"/>
  <c r="AW55" i="1"/>
  <c r="AW59" i="1"/>
  <c r="AW67" i="1"/>
  <c r="AW75" i="1"/>
  <c r="AW19" i="1"/>
  <c r="AW27" i="1"/>
  <c r="AW39" i="1"/>
  <c r="AW51" i="1"/>
  <c r="AW11" i="1"/>
  <c r="AW23" i="1"/>
  <c r="AW43" i="1"/>
  <c r="AW35" i="1"/>
  <c r="AU57" i="1"/>
  <c r="AS50" i="1"/>
  <c r="AS66" i="1"/>
  <c r="BA13" i="1"/>
  <c r="BA29" i="1"/>
  <c r="BA45" i="1"/>
  <c r="BA61" i="1"/>
  <c r="AU12" i="1"/>
  <c r="AU16" i="1"/>
  <c r="AU20" i="1"/>
  <c r="AU28" i="1"/>
  <c r="AU32" i="1"/>
  <c r="AU48" i="1"/>
  <c r="AU60" i="1"/>
  <c r="AU64" i="1"/>
  <c r="AS33" i="1"/>
  <c r="AS41" i="1"/>
  <c r="AS49" i="1"/>
  <c r="AS57" i="1"/>
  <c r="AS65" i="1"/>
  <c r="AS73" i="1"/>
  <c r="AU8" i="1"/>
  <c r="AU24" i="1"/>
  <c r="AU40" i="1"/>
  <c r="AU56" i="1"/>
  <c r="AU72" i="1"/>
  <c r="AY6" i="1"/>
  <c r="AY14" i="1"/>
  <c r="AY22" i="1"/>
  <c r="AY30" i="1"/>
  <c r="AY38" i="1"/>
  <c r="AY54" i="1"/>
  <c r="AY62" i="1"/>
  <c r="AY70" i="1"/>
  <c r="BA5" i="1"/>
  <c r="BA21" i="1"/>
  <c r="BA37" i="1"/>
  <c r="BA53" i="1"/>
  <c r="BA69" i="1"/>
  <c r="AS34" i="1"/>
  <c r="AS42" i="1"/>
  <c r="AS58" i="1"/>
  <c r="AS74" i="1"/>
  <c r="AU17" i="1"/>
  <c r="AU33" i="1"/>
  <c r="AU49" i="1"/>
  <c r="AU65" i="1"/>
  <c r="BA6" i="1"/>
  <c r="BA14" i="1"/>
  <c r="BA22" i="1"/>
  <c r="BA30" i="1"/>
  <c r="BA38" i="1"/>
  <c r="BA46" i="1"/>
  <c r="BA54" i="1"/>
  <c r="BA62" i="1"/>
  <c r="BA70" i="1"/>
  <c r="AW72" i="1"/>
  <c r="AW40" i="1"/>
  <c r="AU47" i="1"/>
  <c r="BA47" i="1"/>
  <c r="AS47" i="1"/>
  <c r="AW15" i="1"/>
  <c r="AW63" i="1"/>
  <c r="BA4" i="1"/>
  <c r="AY4" i="1"/>
  <c r="BA8" i="1"/>
  <c r="AY8" i="1"/>
  <c r="BA16" i="1"/>
  <c r="AY16" i="1"/>
  <c r="BA24" i="1"/>
  <c r="AY24" i="1"/>
  <c r="BA32" i="1"/>
  <c r="AS32" i="1"/>
  <c r="AY32" i="1"/>
  <c r="BA36" i="1"/>
  <c r="AS36" i="1"/>
  <c r="AY36" i="1"/>
  <c r="BA44" i="1"/>
  <c r="AS44" i="1"/>
  <c r="AY44" i="1"/>
  <c r="BA52" i="1"/>
  <c r="AS52" i="1"/>
  <c r="AY52" i="1"/>
  <c r="BA56" i="1"/>
  <c r="AS56" i="1"/>
  <c r="AY56" i="1"/>
  <c r="BA64" i="1"/>
  <c r="AS64" i="1"/>
  <c r="AY64" i="1"/>
  <c r="BA68" i="1"/>
  <c r="AS68" i="1"/>
  <c r="AY68" i="1"/>
  <c r="BA76" i="1"/>
  <c r="AS76" i="1"/>
  <c r="AY76" i="1"/>
  <c r="AS4" i="1"/>
  <c r="AS12" i="1"/>
  <c r="AS20" i="1"/>
  <c r="AS28" i="1"/>
  <c r="AW8" i="1"/>
  <c r="AW24" i="1"/>
  <c r="AW56" i="1"/>
  <c r="AY47" i="1"/>
  <c r="AY5" i="1"/>
  <c r="AW5" i="1"/>
  <c r="AY9" i="1"/>
  <c r="AW9" i="1"/>
  <c r="AY13" i="1"/>
  <c r="AW13" i="1"/>
  <c r="AY17" i="1"/>
  <c r="AW17" i="1"/>
  <c r="AY21" i="1"/>
  <c r="AW21" i="1"/>
  <c r="AY25" i="1"/>
  <c r="AW25" i="1"/>
  <c r="AY29" i="1"/>
  <c r="AW29" i="1"/>
  <c r="AY33" i="1"/>
  <c r="AW33" i="1"/>
  <c r="AY37" i="1"/>
  <c r="AW37" i="1"/>
  <c r="AY41" i="1"/>
  <c r="AW41" i="1"/>
  <c r="AY45" i="1"/>
  <c r="AW45" i="1"/>
  <c r="AY49" i="1"/>
  <c r="AW49" i="1"/>
  <c r="AY53" i="1"/>
  <c r="AW53" i="1"/>
  <c r="AY57" i="1"/>
  <c r="AW57" i="1"/>
  <c r="AY61" i="1"/>
  <c r="AW61" i="1"/>
  <c r="AY65" i="1"/>
  <c r="AW65" i="1"/>
  <c r="AY69" i="1"/>
  <c r="AW69" i="1"/>
  <c r="AY73" i="1"/>
  <c r="AW73" i="1"/>
  <c r="AS5" i="1"/>
  <c r="AS9" i="1"/>
  <c r="AS13" i="1"/>
  <c r="AS17" i="1"/>
  <c r="AS21" i="1"/>
  <c r="AS25" i="1"/>
  <c r="AS29" i="1"/>
  <c r="AS37" i="1"/>
  <c r="AS45" i="1"/>
  <c r="AS53" i="1"/>
  <c r="AS61" i="1"/>
  <c r="AS69" i="1"/>
  <c r="AU4" i="1"/>
  <c r="AU36" i="1"/>
  <c r="AU44" i="1"/>
  <c r="AU52" i="1"/>
  <c r="AU68" i="1"/>
  <c r="AU76" i="1"/>
  <c r="BA9" i="1"/>
  <c r="BA17" i="1"/>
  <c r="BA25" i="1"/>
  <c r="BA33" i="1"/>
  <c r="BA41" i="1"/>
  <c r="BA49" i="1"/>
  <c r="BA57" i="1"/>
  <c r="BA65" i="1"/>
  <c r="BA73" i="1"/>
  <c r="AU7" i="1"/>
  <c r="BA7" i="1"/>
  <c r="AU11" i="1"/>
  <c r="BA11" i="1"/>
  <c r="AU15" i="1"/>
  <c r="BA15" i="1"/>
  <c r="AU19" i="1"/>
  <c r="BA19" i="1"/>
  <c r="AU23" i="1"/>
  <c r="BA23" i="1"/>
  <c r="AU27" i="1"/>
  <c r="BA27" i="1"/>
  <c r="AU31" i="1"/>
  <c r="BA31" i="1"/>
  <c r="AS31" i="1"/>
  <c r="AU35" i="1"/>
  <c r="BA35" i="1"/>
  <c r="AS35" i="1"/>
  <c r="AU39" i="1"/>
  <c r="BA39" i="1"/>
  <c r="AS39" i="1"/>
  <c r="AU43" i="1"/>
  <c r="BA43" i="1"/>
  <c r="AS43" i="1"/>
  <c r="AU51" i="1"/>
  <c r="BA51" i="1"/>
  <c r="AS51" i="1"/>
  <c r="AU55" i="1"/>
  <c r="BA55" i="1"/>
  <c r="AS55" i="1"/>
  <c r="AU59" i="1"/>
  <c r="BA59" i="1"/>
  <c r="AS59" i="1"/>
  <c r="AU63" i="1"/>
  <c r="BA63" i="1"/>
  <c r="AS63" i="1"/>
  <c r="AU67" i="1"/>
  <c r="BA67" i="1"/>
  <c r="AS67" i="1"/>
  <c r="AU71" i="1"/>
  <c r="BA71" i="1"/>
  <c r="AS71" i="1"/>
  <c r="AU75" i="1"/>
  <c r="BA75" i="1"/>
  <c r="AS75" i="1"/>
  <c r="AS7" i="1"/>
  <c r="AS11" i="1"/>
  <c r="AS15" i="1"/>
  <c r="AS19" i="1"/>
  <c r="AS23" i="1"/>
  <c r="AS27" i="1"/>
  <c r="AW7" i="1"/>
  <c r="AW31" i="1"/>
  <c r="AW47" i="1"/>
  <c r="AW71" i="1"/>
  <c r="BA12" i="1"/>
  <c r="AY12" i="1"/>
  <c r="BA20" i="1"/>
  <c r="AY20" i="1"/>
  <c r="BA28" i="1"/>
  <c r="AY28" i="1"/>
  <c r="BA40" i="1"/>
  <c r="AS40" i="1"/>
  <c r="AY40" i="1"/>
  <c r="BA48" i="1"/>
  <c r="AS48" i="1"/>
  <c r="AY48" i="1"/>
  <c r="BA60" i="1"/>
  <c r="AS60" i="1"/>
  <c r="AY60" i="1"/>
  <c r="BA72" i="1"/>
  <c r="AS72" i="1"/>
  <c r="AY72" i="1"/>
  <c r="AS8" i="1"/>
  <c r="AS16" i="1"/>
  <c r="AS24" i="1"/>
  <c r="AW16" i="1"/>
  <c r="AW32" i="1"/>
  <c r="AW48" i="1"/>
  <c r="AW64" i="1"/>
  <c r="AY7" i="1"/>
  <c r="AY23" i="1"/>
  <c r="AY39" i="1"/>
  <c r="AY55" i="1"/>
  <c r="AW6" i="1"/>
  <c r="AU6" i="1"/>
  <c r="AW10" i="1"/>
  <c r="AU10" i="1"/>
  <c r="AW14" i="1"/>
  <c r="AU14" i="1"/>
  <c r="AW18" i="1"/>
  <c r="AU18" i="1"/>
  <c r="AW22" i="1"/>
  <c r="AU22" i="1"/>
  <c r="AW26" i="1"/>
  <c r="AU26" i="1"/>
  <c r="AW30" i="1"/>
  <c r="AU30" i="1"/>
  <c r="AW34" i="1"/>
  <c r="AU34" i="1"/>
  <c r="AW38" i="1"/>
  <c r="AU38" i="1"/>
  <c r="AW42" i="1"/>
  <c r="AU42" i="1"/>
  <c r="AW46" i="1"/>
  <c r="AU46" i="1"/>
  <c r="AW50" i="1"/>
  <c r="AU50" i="1"/>
  <c r="AW54" i="1"/>
  <c r="AU54" i="1"/>
  <c r="AW58" i="1"/>
  <c r="AU58" i="1"/>
  <c r="AW62" i="1"/>
  <c r="AU62" i="1"/>
  <c r="AW66" i="1"/>
  <c r="AU66" i="1"/>
  <c r="AW70" i="1"/>
  <c r="AU70" i="1"/>
  <c r="AW74" i="1"/>
  <c r="AU74" i="1"/>
  <c r="AS6" i="1"/>
  <c r="AS10" i="1"/>
  <c r="AS14" i="1"/>
  <c r="AS18" i="1"/>
  <c r="AS22" i="1"/>
  <c r="AS26" i="1"/>
  <c r="AS30" i="1"/>
  <c r="AS38" i="1"/>
  <c r="AS46" i="1"/>
  <c r="AS54" i="1"/>
  <c r="AS62" i="1"/>
  <c r="AS70" i="1"/>
  <c r="AU5" i="1"/>
  <c r="AU13" i="1"/>
  <c r="AU21" i="1"/>
  <c r="AU29" i="1"/>
  <c r="AU37" i="1"/>
  <c r="AU45" i="1"/>
  <c r="AU53" i="1"/>
  <c r="AU61" i="1"/>
  <c r="AU69" i="1"/>
  <c r="AW4" i="1"/>
  <c r="AW12" i="1"/>
  <c r="AW20" i="1"/>
  <c r="AW28" i="1"/>
  <c r="AW36" i="1"/>
  <c r="AW44" i="1"/>
  <c r="AW52" i="1"/>
  <c r="AW60" i="1"/>
  <c r="AW68" i="1"/>
  <c r="AW76" i="1"/>
  <c r="AY11" i="1"/>
  <c r="AY19" i="1"/>
  <c r="AY27" i="1"/>
  <c r="AY35" i="1"/>
  <c r="AY43" i="1"/>
  <c r="AY51" i="1"/>
  <c r="AY59" i="1"/>
  <c r="AY67" i="1"/>
  <c r="AY75" i="1"/>
  <c r="BA10" i="1"/>
  <c r="BA18" i="1"/>
  <c r="BA26" i="1"/>
  <c r="BA34" i="1"/>
  <c r="BA42" i="1"/>
  <c r="BA50" i="1"/>
  <c r="BA58" i="1"/>
  <c r="BA66" i="1"/>
  <c r="BA74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B78" i="4" l="1"/>
  <c r="G22" i="4" l="1"/>
  <c r="G263" i="4"/>
  <c r="G255" i="4"/>
  <c r="G116" i="4"/>
  <c r="G31" i="4"/>
  <c r="G90" i="4"/>
  <c r="G53" i="4"/>
  <c r="G267" i="4"/>
  <c r="G98" i="4"/>
  <c r="G96" i="4"/>
  <c r="G95" i="4"/>
  <c r="G91" i="4"/>
  <c r="G94" i="4"/>
  <c r="G93" i="4"/>
  <c r="G97" i="4"/>
  <c r="G92" i="4"/>
  <c r="G197" i="4"/>
  <c r="G24" i="4"/>
  <c r="E2" i="4"/>
  <c r="G44" i="4"/>
  <c r="G275" i="4"/>
  <c r="G271" i="4"/>
  <c r="G268" i="4"/>
  <c r="G274" i="4"/>
  <c r="G270" i="4"/>
  <c r="G266" i="4"/>
  <c r="G273" i="4"/>
  <c r="G269" i="4"/>
  <c r="G265" i="4"/>
  <c r="G272" i="4"/>
  <c r="G264" i="4"/>
  <c r="G257" i="4"/>
  <c r="G252" i="4"/>
  <c r="G248" i="4"/>
  <c r="G243" i="4"/>
  <c r="G239" i="4"/>
  <c r="G250" i="4"/>
  <c r="G246" i="4"/>
  <c r="G237" i="4"/>
  <c r="G253" i="4"/>
  <c r="G244" i="4"/>
  <c r="G256" i="4"/>
  <c r="G251" i="4"/>
  <c r="G247" i="4"/>
  <c r="G242" i="4"/>
  <c r="G238" i="4"/>
  <c r="G241" i="4"/>
  <c r="G258" i="4"/>
  <c r="G249" i="4"/>
  <c r="G240" i="4"/>
  <c r="G229" i="4"/>
  <c r="G225" i="4"/>
  <c r="G221" i="4"/>
  <c r="G211" i="4"/>
  <c r="G207" i="4"/>
  <c r="G200" i="4"/>
  <c r="G192" i="4"/>
  <c r="G188" i="4"/>
  <c r="G184" i="4"/>
  <c r="G180" i="4"/>
  <c r="G228" i="4"/>
  <c r="G224" i="4"/>
  <c r="G220" i="4"/>
  <c r="G214" i="4"/>
  <c r="G210" i="4"/>
  <c r="G206" i="4"/>
  <c r="G199" i="4"/>
  <c r="G191" i="4"/>
  <c r="G187" i="4"/>
  <c r="G183" i="4"/>
  <c r="G227" i="4"/>
  <c r="G223" i="4"/>
  <c r="G213" i="4"/>
  <c r="G209" i="4"/>
  <c r="G198" i="4"/>
  <c r="G190" i="4"/>
  <c r="G186" i="4"/>
  <c r="G182" i="4"/>
  <c r="G230" i="4"/>
  <c r="G226" i="4"/>
  <c r="G222" i="4"/>
  <c r="G212" i="4"/>
  <c r="G208" i="4"/>
  <c r="G201" i="4"/>
  <c r="G189" i="4"/>
  <c r="G185" i="4"/>
  <c r="G181" i="4"/>
  <c r="G170" i="4"/>
  <c r="G165" i="4"/>
  <c r="G161" i="4"/>
  <c r="G157" i="4"/>
  <c r="G153" i="4"/>
  <c r="G169" i="4"/>
  <c r="G164" i="4"/>
  <c r="G160" i="4"/>
  <c r="G156" i="4"/>
  <c r="G152" i="4"/>
  <c r="G167" i="4"/>
  <c r="G163" i="4"/>
  <c r="G159" i="4"/>
  <c r="G155" i="4"/>
  <c r="G173" i="4"/>
  <c r="G166" i="4"/>
  <c r="G162" i="4"/>
  <c r="G158" i="4"/>
  <c r="G154" i="4"/>
  <c r="G174" i="4"/>
  <c r="G172" i="4"/>
  <c r="G171" i="4"/>
  <c r="G175" i="4"/>
  <c r="G168" i="4"/>
  <c r="G142" i="4"/>
  <c r="G143" i="4"/>
  <c r="G141" i="4"/>
  <c r="G140" i="4"/>
  <c r="G145" i="4"/>
  <c r="G136" i="4"/>
  <c r="G131" i="4"/>
  <c r="G127" i="4"/>
  <c r="G123" i="4"/>
  <c r="G119" i="4"/>
  <c r="G111" i="4"/>
  <c r="G107" i="4"/>
  <c r="G103" i="4"/>
  <c r="G144" i="4"/>
  <c r="G130" i="4"/>
  <c r="G122" i="4"/>
  <c r="G110" i="4"/>
  <c r="G147" i="4"/>
  <c r="G139" i="4"/>
  <c r="G129" i="4"/>
  <c r="G121" i="4"/>
  <c r="G109" i="4"/>
  <c r="G146" i="4"/>
  <c r="G137" i="4"/>
  <c r="G132" i="4"/>
  <c r="G128" i="4"/>
  <c r="G124" i="4"/>
  <c r="G120" i="4"/>
  <c r="G108" i="4"/>
  <c r="G104" i="4"/>
  <c r="G135" i="4"/>
  <c r="G126" i="4"/>
  <c r="G118" i="4"/>
  <c r="G106" i="4"/>
  <c r="G133" i="4"/>
  <c r="G125" i="4"/>
  <c r="G117" i="4"/>
  <c r="G105" i="4"/>
  <c r="G138" i="4"/>
  <c r="G134" i="4"/>
  <c r="G85" i="4"/>
  <c r="G81" i="4"/>
  <c r="G77" i="4"/>
  <c r="G73" i="4"/>
  <c r="G69" i="4"/>
  <c r="G65" i="4"/>
  <c r="G61" i="4"/>
  <c r="G57" i="4"/>
  <c r="G78" i="4"/>
  <c r="G62" i="4"/>
  <c r="G54" i="4"/>
  <c r="G84" i="4"/>
  <c r="G80" i="4"/>
  <c r="G76" i="4"/>
  <c r="G72" i="4"/>
  <c r="G68" i="4"/>
  <c r="G64" i="4"/>
  <c r="G60" i="4"/>
  <c r="G56" i="4"/>
  <c r="G83" i="4"/>
  <c r="G79" i="4"/>
  <c r="G75" i="4"/>
  <c r="G71" i="4"/>
  <c r="G67" i="4"/>
  <c r="G63" i="4"/>
  <c r="G59" i="4"/>
  <c r="G55" i="4"/>
  <c r="G82" i="4"/>
  <c r="G74" i="4"/>
  <c r="G70" i="4"/>
  <c r="G66" i="4"/>
  <c r="G58" i="4"/>
  <c r="G47" i="4"/>
  <c r="G45" i="4"/>
  <c r="G48" i="4"/>
  <c r="G46" i="4"/>
  <c r="G39" i="4"/>
  <c r="G33" i="4"/>
  <c r="G34" i="4"/>
  <c r="G32" i="4"/>
  <c r="G27" i="4"/>
  <c r="G23" i="4"/>
  <c r="G262" i="4"/>
  <c r="G196" i="4"/>
  <c r="G102" i="4"/>
  <c r="G38" i="4"/>
  <c r="G235" i="4"/>
  <c r="G179" i="4"/>
  <c r="G89" i="4"/>
  <c r="G21" i="4"/>
  <c r="G219" i="4"/>
  <c r="G151" i="4"/>
  <c r="G52" i="4"/>
  <c r="G205" i="4"/>
  <c r="G115" i="4"/>
  <c r="G43" i="4"/>
  <c r="G29" i="4"/>
  <c r="G28" i="4"/>
  <c r="G30" i="4"/>
  <c r="G25" i="4"/>
  <c r="G26" i="4"/>
</calcChain>
</file>

<file path=xl/sharedStrings.xml><?xml version="1.0" encoding="utf-8"?>
<sst xmlns="http://schemas.openxmlformats.org/spreadsheetml/2006/main" count="1203" uniqueCount="351">
  <si>
    <t>Percent with owner costs &gt;=30% of income</t>
  </si>
  <si>
    <t>Monthly owner costs 30% of income or more</t>
  </si>
  <si>
    <t>Percent with monthly owner costs &lt;30% of income</t>
  </si>
  <si>
    <t>Monthly owner costs less than 30% of income</t>
  </si>
  <si>
    <t>Percent of units that are owner-occupied</t>
  </si>
  <si>
    <t>Number of units that are owner-occupied</t>
  </si>
  <si>
    <t>Percent with rental costs &gt;=30% of income or more</t>
  </si>
  <si>
    <t>Rental costs 30% of income or more</t>
  </si>
  <si>
    <t>Percent with rental costs &lt;30% of income</t>
  </si>
  <si>
    <t>Rental costs less than 30% of income</t>
  </si>
  <si>
    <t>Percent of units that are rentals</t>
  </si>
  <si>
    <t>Number of units that are rentals</t>
  </si>
  <si>
    <t>Housing units occupied by householders age 65+</t>
  </si>
  <si>
    <t>Trempealeau</t>
  </si>
  <si>
    <t>Wisconsin</t>
  </si>
  <si>
    <t>Housing Unit Tenure and Housing Costs</t>
  </si>
  <si>
    <t>Persons age 65+: Unemployed</t>
  </si>
  <si>
    <t>Persons age 65+: Employed</t>
  </si>
  <si>
    <t>TOTAL: Persons age 65+</t>
  </si>
  <si>
    <t>Females age 75+: Unemployed</t>
  </si>
  <si>
    <t>Females age 75+: Employed</t>
  </si>
  <si>
    <t>Females age 65-74: Unemployed</t>
  </si>
  <si>
    <t>Females age 65-74: Employed</t>
  </si>
  <si>
    <t>FEMALES:</t>
  </si>
  <si>
    <t>Males age 75+: Unemployed</t>
  </si>
  <si>
    <t>Males age 75+: Employed</t>
  </si>
  <si>
    <t>Males age 65-74: Unemployed</t>
  </si>
  <si>
    <t>Males age 65-74: Employed</t>
  </si>
  <si>
    <t>MALES:</t>
  </si>
  <si>
    <t>Employment Status by Age and Sex</t>
  </si>
  <si>
    <t xml:space="preserve">    % of 65+ Pop: 300% of poverty or less</t>
  </si>
  <si>
    <t>Age 65+: 300% of poverty or less</t>
  </si>
  <si>
    <t xml:space="preserve">    % of 65+ Pop: 200% of poverty or less</t>
  </si>
  <si>
    <t>Age 65+: 200% of poverty or less</t>
  </si>
  <si>
    <t xml:space="preserve">    % of 65+ Pop: 185% of poverty or less</t>
  </si>
  <si>
    <t>Age 65+: 185% of poverty or less</t>
  </si>
  <si>
    <t xml:space="preserve">    % of 65+ Pop: 150% of poverty or less</t>
  </si>
  <si>
    <t>Age 65+: 150% of poverty or less</t>
  </si>
  <si>
    <t xml:space="preserve">    % of 65+ Pop below poverty</t>
  </si>
  <si>
    <t>Age 65+ below poverty</t>
  </si>
  <si>
    <t>Total, Age 65+*</t>
  </si>
  <si>
    <t xml:space="preserve">     % of persons 65+ in poverty</t>
  </si>
  <si>
    <t>Persons 65+ in poverty</t>
  </si>
  <si>
    <t>Persons age 65+</t>
  </si>
  <si>
    <t xml:space="preserve">     % of 65+ females in poverty</t>
  </si>
  <si>
    <t>65+ Females in Poverty</t>
  </si>
  <si>
    <t>Females age 65+</t>
  </si>
  <si>
    <t xml:space="preserve">     % of 65+ males in poverty</t>
  </si>
  <si>
    <t>65+ Males in Poverty</t>
  </si>
  <si>
    <t>Males age 65+</t>
  </si>
  <si>
    <t>Householder 65 years and over</t>
  </si>
  <si>
    <t>Householder 45 to 64 years</t>
  </si>
  <si>
    <t>Householder 25 to 44 years</t>
  </si>
  <si>
    <t>Householder under 25 years</t>
  </si>
  <si>
    <t>Total, householders of all ages:</t>
  </si>
  <si>
    <t>Median Household Income</t>
  </si>
  <si>
    <t xml:space="preserve">     % with HH income below $100,000</t>
  </si>
  <si>
    <t>Household income below $100,000</t>
  </si>
  <si>
    <t xml:space="preserve">     % with HH income below $75,000</t>
  </si>
  <si>
    <t>Household income below $75,000</t>
  </si>
  <si>
    <t xml:space="preserve">     % with HH income below $50,000</t>
  </si>
  <si>
    <t>Household income below $50,000</t>
  </si>
  <si>
    <t xml:space="preserve">     % with HH income below $35,000</t>
  </si>
  <si>
    <t>Household income below $35,000</t>
  </si>
  <si>
    <t xml:space="preserve">     % with HH income below $25,000</t>
  </si>
  <si>
    <t>Household income below $25,000</t>
  </si>
  <si>
    <t xml:space="preserve">     % with HH income below $15,000</t>
  </si>
  <si>
    <t>Household income below $15,000</t>
  </si>
  <si>
    <t>Households with head age 65+</t>
  </si>
  <si>
    <t>Household Income</t>
  </si>
  <si>
    <t xml:space="preserve">     % 65+ Persons: More than high school</t>
  </si>
  <si>
    <t xml:space="preserve">     % 65+ Persons: High school only</t>
  </si>
  <si>
    <t xml:space="preserve">     % 65+ Persons: Less than high school</t>
  </si>
  <si>
    <t>65+ Persons: Bachelor's degree or higher</t>
  </si>
  <si>
    <t>65+ Persons: Some college or associate's degree</t>
  </si>
  <si>
    <t>65+ Persons: High school graduate (includes equiv)</t>
  </si>
  <si>
    <t>65+ Persons: Less than high school graduate</t>
  </si>
  <si>
    <t>Persons: 65 years and over:</t>
  </si>
  <si>
    <t xml:space="preserve">     % 65+ Females: More than high school</t>
  </si>
  <si>
    <t xml:space="preserve">     % 65+ Females: High school only</t>
  </si>
  <si>
    <t xml:space="preserve">     % 65+ Females: Less than high school</t>
  </si>
  <si>
    <t>65+ Females: Bachelor's degree or higher</t>
  </si>
  <si>
    <t>65+ Females: Some college or associate's degree</t>
  </si>
  <si>
    <t>65+ Females: High school graduate (includes equiv)</t>
  </si>
  <si>
    <t>65+ Females: Less than high school graduate</t>
  </si>
  <si>
    <t>Females: 65 years and over:</t>
  </si>
  <si>
    <t xml:space="preserve">     % 65+ Males: More than high school</t>
  </si>
  <si>
    <t xml:space="preserve">     % 65+ Males: High school only</t>
  </si>
  <si>
    <t xml:space="preserve">     % 65+ Males: Less than high school</t>
  </si>
  <si>
    <t>65+ Males: Bachelor's degree or higher</t>
  </si>
  <si>
    <t>65+ Males: Some college or associate's degree</t>
  </si>
  <si>
    <t>65+ Males: High school graduate (includes equiv.)</t>
  </si>
  <si>
    <t>65+ Males: Less than high school graduate</t>
  </si>
  <si>
    <t>Males: 65 years and over:</t>
  </si>
  <si>
    <t>% of 65+ with Ethnicity Hispanic/Latino</t>
  </si>
  <si>
    <t>% of Ethnicity Hispanic/Latino pop that is 65+</t>
  </si>
  <si>
    <t>65+ with Ethnicity Hispanic/Latino</t>
  </si>
  <si>
    <t>Total - All Ages: Ethnicity Hispanic/Latino (May be any Race)</t>
  </si>
  <si>
    <t>% of 65+ that is Two or More Races</t>
  </si>
  <si>
    <t>% of Two or More Races pop that is 65+</t>
  </si>
  <si>
    <t>65+ Two or More Races</t>
  </si>
  <si>
    <t>Total - All Ages: Two or More Races</t>
  </si>
  <si>
    <t>% of 65+ that is Hawaiian/Pacific Islander</t>
  </si>
  <si>
    <t>% of Hawaiian/Pacific Islander pop that is 65+</t>
  </si>
  <si>
    <t>65+ Hawaiian/Pacific Islander</t>
  </si>
  <si>
    <t>Total - All Ages: Hawaiian/Pacific Islander Alone</t>
  </si>
  <si>
    <t>% of 65+ that is Asian</t>
  </si>
  <si>
    <t>% of Asian pop that is 65+</t>
  </si>
  <si>
    <t>65+ Asian</t>
  </si>
  <si>
    <t>Total - All Ages: Asian Alone</t>
  </si>
  <si>
    <t>% of 65+ that is Native American/Alaska Native</t>
  </si>
  <si>
    <t>% of Native American/Alaska Native pop that is 65+</t>
  </si>
  <si>
    <t>65+ Native American/Alaska Native</t>
  </si>
  <si>
    <t xml:space="preserve">Total - All Ages: Native American/Alaska Native Alone </t>
  </si>
  <si>
    <t>% of 65+ that is Black/African American</t>
  </si>
  <si>
    <t>% of Black/African American pop that is 65+</t>
  </si>
  <si>
    <t>65+ Black/African American</t>
  </si>
  <si>
    <t>Total - All Ages: Black/African American Alone</t>
  </si>
  <si>
    <t>% of 65+ that is White/Caucasian</t>
  </si>
  <si>
    <t>% of White/Caucasian pop that is 65+</t>
  </si>
  <si>
    <t>65+ White/Caucasian</t>
  </si>
  <si>
    <t>Total - All Ages: White/Caucasian Alone</t>
  </si>
  <si>
    <t>% of 65+ that is All Races and Hispanic Ethnicity</t>
  </si>
  <si>
    <t>% of Total Population that is 65+</t>
  </si>
  <si>
    <t>65+ All Races and Hispanic Ethnicity</t>
  </si>
  <si>
    <t>Total - All Ages: Total Population</t>
  </si>
  <si>
    <t xml:space="preserve">     Females age 65+ living alone</t>
  </si>
  <si>
    <t xml:space="preserve">Females age 65+ </t>
  </si>
  <si>
    <t xml:space="preserve">     Males age 65+ living alone</t>
  </si>
  <si>
    <t>Persons 65+ living alone</t>
  </si>
  <si>
    <t>Persons 65+</t>
  </si>
  <si>
    <t>Total Persons, 65+, % with a Disability</t>
  </si>
  <si>
    <t>Total Persons, 65+, With a Disability</t>
  </si>
  <si>
    <t>Total Persons, 65+</t>
  </si>
  <si>
    <t>Females, 65+, % with a Disability</t>
  </si>
  <si>
    <t>Females, 65+, With a Disability</t>
  </si>
  <si>
    <t>Males, 65+, % with a Disability</t>
  </si>
  <si>
    <t>Males, 65+, With a Disability</t>
  </si>
  <si>
    <t>Disability Status, by Sex</t>
  </si>
  <si>
    <t>Persons, 65+: Divorced</t>
  </si>
  <si>
    <t>Persons, 65+: Widowed</t>
  </si>
  <si>
    <t>Persons, 65+: Married, Spouse Absent (e.g., Separated)</t>
  </si>
  <si>
    <t>Persons, 65+: Married, Spouse Present</t>
  </si>
  <si>
    <t>Persons, 65+: Never Married</t>
  </si>
  <si>
    <t>Females, 65+: Divorced</t>
  </si>
  <si>
    <t>Females, 65+: Widowed</t>
  </si>
  <si>
    <t>Females, 65+: Married, Spouse Absent (e.g., Separated)</t>
  </si>
  <si>
    <t>Females, 65+: Married, Spouse Present</t>
  </si>
  <si>
    <t>Females, 65+: Never Married</t>
  </si>
  <si>
    <t>Total Females, 65+</t>
  </si>
  <si>
    <t>Males, 65+: Divorced</t>
  </si>
  <si>
    <t>Males, 65+: Widowed</t>
  </si>
  <si>
    <t>Males, 65+: Married, Spouse Absent (e.g., Separated)</t>
  </si>
  <si>
    <t>Males, 65+: Married, Spouse Present</t>
  </si>
  <si>
    <t>Males, 65+: Never Married</t>
  </si>
  <si>
    <t>Total Males, 65+</t>
  </si>
  <si>
    <t>Marital Status, by Sex</t>
  </si>
  <si>
    <t xml:space="preserve">    Percent with a member age 65+</t>
  </si>
  <si>
    <t>Households with one or more people 65 years and over:</t>
  </si>
  <si>
    <t xml:space="preserve">    Percent with a member age 60+</t>
  </si>
  <si>
    <t>Households with one or more people 60 years and over:</t>
  </si>
  <si>
    <t>Total number of households</t>
  </si>
  <si>
    <t>Households with Older Members</t>
  </si>
  <si>
    <t>Total (Males and Females, All Races)</t>
  </si>
  <si>
    <t>Median Age in Years</t>
  </si>
  <si>
    <t xml:space="preserve">   Females as percent of 65+ population</t>
  </si>
  <si>
    <t xml:space="preserve">   Males as percent of 65+ population</t>
  </si>
  <si>
    <t>% 85+</t>
  </si>
  <si>
    <t>% 75+</t>
  </si>
  <si>
    <t>% 65+</t>
  </si>
  <si>
    <t>% 60+</t>
  </si>
  <si>
    <t>85+</t>
  </si>
  <si>
    <t>75+</t>
  </si>
  <si>
    <t>65+</t>
  </si>
  <si>
    <t>60+</t>
  </si>
  <si>
    <t>Total Population - All Ages, All Races</t>
  </si>
  <si>
    <t>Age Group Estimates</t>
  </si>
  <si>
    <t>Adams</t>
  </si>
  <si>
    <t>Ashland</t>
  </si>
  <si>
    <t>Barron</t>
  </si>
  <si>
    <t>Bayfield</t>
  </si>
  <si>
    <t>Brown</t>
  </si>
  <si>
    <t>Buffalo</t>
  </si>
  <si>
    <t>Burnett</t>
  </si>
  <si>
    <t>Calumet</t>
  </si>
  <si>
    <t>Chippewa</t>
  </si>
  <si>
    <t>Clark</t>
  </si>
  <si>
    <t>Columbia</t>
  </si>
  <si>
    <t>Crawford</t>
  </si>
  <si>
    <t>Dane</t>
  </si>
  <si>
    <t>Dodge</t>
  </si>
  <si>
    <t>Door</t>
  </si>
  <si>
    <t>Douglas</t>
  </si>
  <si>
    <t>Dunn</t>
  </si>
  <si>
    <t>Eau Claire</t>
  </si>
  <si>
    <t>Florence</t>
  </si>
  <si>
    <t>Fond du Lac</t>
  </si>
  <si>
    <t>Forest</t>
  </si>
  <si>
    <t>Grant</t>
  </si>
  <si>
    <t>Green</t>
  </si>
  <si>
    <t>Green Lake</t>
  </si>
  <si>
    <t>Iowa</t>
  </si>
  <si>
    <t>Iron</t>
  </si>
  <si>
    <t>Jackson</t>
  </si>
  <si>
    <t>Jefferson</t>
  </si>
  <si>
    <t>Juneau</t>
  </si>
  <si>
    <t>Kenosha</t>
  </si>
  <si>
    <t>Kewaunee</t>
  </si>
  <si>
    <t>La Crosse</t>
  </si>
  <si>
    <t>Lafayette</t>
  </si>
  <si>
    <t>Langlade</t>
  </si>
  <si>
    <t>Lincoln</t>
  </si>
  <si>
    <t>Manitowoc</t>
  </si>
  <si>
    <t>Marathon</t>
  </si>
  <si>
    <t>Marinette</t>
  </si>
  <si>
    <t>Marquette</t>
  </si>
  <si>
    <t>Menominee</t>
  </si>
  <si>
    <t>Milwaukee</t>
  </si>
  <si>
    <t>Monroe</t>
  </si>
  <si>
    <t>Oconto</t>
  </si>
  <si>
    <t>Oneida</t>
  </si>
  <si>
    <t>Outagamie</t>
  </si>
  <si>
    <t>Ozaukee</t>
  </si>
  <si>
    <t>Pepin</t>
  </si>
  <si>
    <t>Pierce</t>
  </si>
  <si>
    <t>Polk</t>
  </si>
  <si>
    <t>Portage</t>
  </si>
  <si>
    <t>Price</t>
  </si>
  <si>
    <t>Racine</t>
  </si>
  <si>
    <t>Richland</t>
  </si>
  <si>
    <t>Rock</t>
  </si>
  <si>
    <t>Rusk</t>
  </si>
  <si>
    <t>Saint Croix</t>
  </si>
  <si>
    <t>Sauk</t>
  </si>
  <si>
    <t>Sawyer</t>
  </si>
  <si>
    <t>Shawano</t>
  </si>
  <si>
    <t>Sheboygan</t>
  </si>
  <si>
    <t>Taylor</t>
  </si>
  <si>
    <t>Vernon</t>
  </si>
  <si>
    <t>Vilas</t>
  </si>
  <si>
    <t>Walworth</t>
  </si>
  <si>
    <t>Washburn</t>
  </si>
  <si>
    <t>Washington</t>
  </si>
  <si>
    <t>Waukesha</t>
  </si>
  <si>
    <t>Waupaca</t>
  </si>
  <si>
    <t>Waushara</t>
  </si>
  <si>
    <t>Winnebago</t>
  </si>
  <si>
    <t>Wood</t>
  </si>
  <si>
    <t>Order</t>
  </si>
  <si>
    <t>CountyName</t>
  </si>
  <si>
    <t>Median Age</t>
  </si>
  <si>
    <t>Living Alone</t>
  </si>
  <si>
    <t>Race &amp; Ethnicity</t>
  </si>
  <si>
    <t>Educational Attainment</t>
  </si>
  <si>
    <t>Poverty by Sex</t>
  </si>
  <si>
    <t>Ratio of Income to Poverty</t>
  </si>
  <si>
    <t>Employment Status</t>
  </si>
  <si>
    <t>B01001</t>
  </si>
  <si>
    <t>B01002</t>
  </si>
  <si>
    <t>B11006</t>
  </si>
  <si>
    <t>B11007</t>
  </si>
  <si>
    <t>B12002</t>
  </si>
  <si>
    <t xml:space="preserve">     % Males Never Married</t>
  </si>
  <si>
    <t xml:space="preserve">     % Males Married, Spouse Present</t>
  </si>
  <si>
    <t xml:space="preserve">     % Males Married, Spouse Absent</t>
  </si>
  <si>
    <t xml:space="preserve">     % Males Widowed</t>
  </si>
  <si>
    <t xml:space="preserve">     % Males Divorced</t>
  </si>
  <si>
    <t xml:space="preserve">     % Females Never Married</t>
  </si>
  <si>
    <t xml:space="preserve">     % Females Married, Spouse Present</t>
  </si>
  <si>
    <t xml:space="preserve">     % Females Married, Spouse Absent</t>
  </si>
  <si>
    <t xml:space="preserve">     % Females Widowed</t>
  </si>
  <si>
    <t xml:space="preserve">     % Females Divorced</t>
  </si>
  <si>
    <t xml:space="preserve">     % Total Never Married</t>
  </si>
  <si>
    <t xml:space="preserve">     % Total Married, Spouse Present</t>
  </si>
  <si>
    <t xml:space="preserve">     % Total Married, Spouse Absent</t>
  </si>
  <si>
    <t xml:space="preserve">     % Total Widowed</t>
  </si>
  <si>
    <t xml:space="preserve">     % Total Divorced</t>
  </si>
  <si>
    <t>B18101</t>
  </si>
  <si>
    <t>Persons, % living alone</t>
  </si>
  <si>
    <t xml:space="preserve">   Males,  % living alone</t>
  </si>
  <si>
    <t xml:space="preserve">    Females, % living alone</t>
  </si>
  <si>
    <t>B09020</t>
  </si>
  <si>
    <t>Total - All Ages: Some Other Race</t>
  </si>
  <si>
    <t>65+ Some Other Race</t>
  </si>
  <si>
    <t>% of Some Other Race pop that is 65+</t>
  </si>
  <si>
    <t>% of 65+ that is Some Other Race</t>
  </si>
  <si>
    <t>B15001</t>
  </si>
  <si>
    <t>Ages 65 and Older, Living Alone</t>
  </si>
  <si>
    <t>Ratio of Income to Poverty: Ages 65 and Older*</t>
  </si>
  <si>
    <t>B19037</t>
  </si>
  <si>
    <t>B19049</t>
  </si>
  <si>
    <t>B17001</t>
  </si>
  <si>
    <t>B17024</t>
  </si>
  <si>
    <t>B23001</t>
  </si>
  <si>
    <t xml:space="preserve">     Males 65-74; % Employed</t>
  </si>
  <si>
    <t xml:space="preserve">     Males 65-74; % Unemployed</t>
  </si>
  <si>
    <t xml:space="preserve">     Males 75+; % Unemployed</t>
  </si>
  <si>
    <t xml:space="preserve">     Females 65-74; % Employed</t>
  </si>
  <si>
    <t xml:space="preserve">     Females 65-74; % Unemployed</t>
  </si>
  <si>
    <t xml:space="preserve">  Males 75+;  % Employed</t>
  </si>
  <si>
    <t xml:space="preserve">  Females 75+;  % Employed</t>
  </si>
  <si>
    <t xml:space="preserve">     Females 75+; % Unemployed</t>
  </si>
  <si>
    <t xml:space="preserve">   Persons age 65+;   % Employed</t>
  </si>
  <si>
    <t xml:space="preserve">    Persons age 65+; % Unemployed</t>
  </si>
  <si>
    <t>Housing Tenure and Costs</t>
  </si>
  <si>
    <t>B25072</t>
  </si>
  <si>
    <t>Marital Status by Sex</t>
  </si>
  <si>
    <t>Highest Educational Attainment by Sex</t>
  </si>
  <si>
    <t>Total, Age 65+</t>
  </si>
  <si>
    <t>Disability Status of Non-institutionalized Population by Sex</t>
  </si>
  <si>
    <t>AEP</t>
  </si>
  <si>
    <t>Total - All Ages: White/Caucasian Alone, not Hispanic</t>
  </si>
  <si>
    <t>Total - All Ages: Black/African American Alone, not Hispanic</t>
  </si>
  <si>
    <t xml:space="preserve">Total - All Ages: Native American/Alaska Native Alone, not Hispanic </t>
  </si>
  <si>
    <t>Total - All Ages: Asian Alone, not Hispanic</t>
  </si>
  <si>
    <t>Total - All Ages: Hawaiian/Pacific Islander Alone, not Hispanic</t>
  </si>
  <si>
    <t>Total - All Ages: Two or More Races, not Hispanic</t>
  </si>
  <si>
    <t>Total - All Ages: Hispanic/Latino (may be any race)</t>
  </si>
  <si>
    <t>Males age 65+ (for poverty)</t>
  </si>
  <si>
    <t>Females age 65+ (for poverty)</t>
  </si>
  <si>
    <t>Persons age 65+ (for poverty)</t>
  </si>
  <si>
    <t>Note:  Percent unemployed is not the same as the "unemployment rate"</t>
  </si>
  <si>
    <t>B25093</t>
  </si>
  <si>
    <t>*Note: Totals for this table only include persons for whom poverty status can be determined.</t>
  </si>
  <si>
    <t>Poverty by Sex, Ages 65 and Older*</t>
  </si>
  <si>
    <t>Males, 65+, Total*</t>
  </si>
  <si>
    <t>Females, 65+, Total*</t>
  </si>
  <si>
    <t>All Persons, 65+*</t>
  </si>
  <si>
    <t>-</t>
  </si>
  <si>
    <t>Note: Costs are not computed for all housing units so sum of the costs' percent shares may not total 100%.</t>
  </si>
  <si>
    <t>* Universe is non-institutionalized population.</t>
  </si>
  <si>
    <t>Source: U.S. Census, American Community Survey, 2020-2024 Estimates</t>
  </si>
  <si>
    <t>Source: U.S. Bureau of the Census, American Community Survey, 2020-2024 Five-year Estimates, Table B01001</t>
  </si>
  <si>
    <t>Source: U.S. Bureau of the Census, American Community Survey, 2020-2024 Five-year Estimates, Table B01002</t>
  </si>
  <si>
    <t>Source: U.S. Bureau of the Census, American Community Survey, 2020-2024 Five-year Estimates, Tables B11006 and B11007</t>
  </si>
  <si>
    <t>Source: U.S. Bureau of the Census, American Community Survey, 2020-2024 Five-year Estimates, Table B12002</t>
  </si>
  <si>
    <t>Source: U.S. Bureau of the Census, American Community Survey, 2020-2024 Five-year Estimates, Table B18101</t>
  </si>
  <si>
    <t>Source: U.S. Bureau of the Census, American Community Survey, 2020-2024 Five-year Estimates, Tables B01001 and B09020</t>
  </si>
  <si>
    <t>Source: U.S. Bureau of the Census, American Community Survey, 2020-2024 Five-year Estimates, Table B15001</t>
  </si>
  <si>
    <t>Source: U.S. Bureau of the Census, American Community Survey, 2020-2024 Five-year Estimates, Table B19037</t>
  </si>
  <si>
    <t>Source: U.S. Bureau of the Census, American Community Survey, 2020-2024 Five-year Estimates, Table B19049</t>
  </si>
  <si>
    <t>Source: U.S. Bureau of the Census, American Community Survey, 2020-2024 Five-year Estimates, Table B17001</t>
  </si>
  <si>
    <t>Source: U.S. Bureau of the Census, American Community Survey, 2020-2024 Five-year Estimates, Table B17024</t>
  </si>
  <si>
    <t>Source: U.S. Bureau of the Census, American Community Survey, 2020-2024 Five-year Estimates, Table B23001</t>
  </si>
  <si>
    <t>Source: U.S. Bureau of the Census, American Community Survey, 2020-2024 Five-year Estimates, Tables B25072 and B25093</t>
  </si>
  <si>
    <r>
      <t xml:space="preserve">Population by Race and Ethnicity, </t>
    </r>
    <r>
      <rPr>
        <b/>
        <u/>
        <sz val="16"/>
        <rFont val="Aptos Narrow"/>
        <family val="2"/>
      </rPr>
      <t>July 2024</t>
    </r>
  </si>
  <si>
    <t>Source: U.S. Bureau of the Census, Annual Population Estimates, July 2024 released Summer 2025</t>
  </si>
  <si>
    <t>``</t>
  </si>
  <si>
    <t xml:space="preserve">                                       (select profile via county-name dropdown arrow)</t>
  </si>
  <si>
    <t>Prepared by Eric Grosso, Bureau of Aging and Disability Resources, March 2026</t>
  </si>
  <si>
    <t>P-01213 (03/2026)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</si>
</sst>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&quot;$&quot;#,##0"/>
    <numFmt numFmtId="166" formatCode="0.0"/>
  </numFmts>
  <fonts count="3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ptos"/>
      <family val="2"/>
    </font>
    <font>
      <sz val="11"/>
      <color theme="1"/>
      <name val="Aptos"/>
      <family val="2"/>
    </font>
    <font>
      <i/>
      <sz val="10"/>
      <name val="Aptos"/>
      <family val="2"/>
    </font>
    <font>
      <i/>
      <sz val="11"/>
      <color indexed="10"/>
      <name val="Aptos"/>
      <family val="2"/>
    </font>
    <font>
      <sz val="11"/>
      <name val="Aptos"/>
      <family val="2"/>
    </font>
    <font>
      <b/>
      <sz val="11"/>
      <name val="Aptos"/>
      <family val="2"/>
    </font>
    <font>
      <b/>
      <sz val="10"/>
      <name val="Aptos"/>
      <family val="2"/>
    </font>
    <font>
      <b/>
      <sz val="11"/>
      <color theme="1"/>
      <name val="Aptos"/>
      <family val="2"/>
    </font>
    <font>
      <i/>
      <sz val="11"/>
      <name val="Aptos"/>
      <family val="2"/>
    </font>
    <font>
      <b/>
      <sz val="10"/>
      <color rgb="FFFF0000"/>
      <name val="Aptos"/>
      <family val="2"/>
    </font>
    <font>
      <sz val="8"/>
      <name val="Aptos"/>
      <family val="2"/>
    </font>
    <font>
      <b/>
      <sz val="16"/>
      <name val="Aptos Narrow"/>
      <family val="2"/>
    </font>
    <font>
      <b/>
      <sz val="11"/>
      <name val="Aptos Narrow"/>
      <family val="2"/>
    </font>
    <font>
      <sz val="11"/>
      <name val="Aptos Narrow"/>
      <family val="2"/>
    </font>
    <font>
      <sz val="11"/>
      <color rgb="FFFF0000"/>
      <name val="Aptos Narrow"/>
      <family val="2"/>
    </font>
    <font>
      <i/>
      <sz val="11"/>
      <name val="Aptos Narrow"/>
      <family val="2"/>
    </font>
    <font>
      <i/>
      <sz val="8"/>
      <name val="Aptos Narrow"/>
      <family val="2"/>
    </font>
    <font>
      <sz val="10"/>
      <color rgb="FFFF0000"/>
      <name val="Aptos Narrow"/>
      <family val="2"/>
    </font>
    <font>
      <i/>
      <sz val="8"/>
      <color rgb="FFFF0000"/>
      <name val="Aptos Narrow"/>
      <family val="2"/>
    </font>
    <font>
      <b/>
      <u/>
      <sz val="16"/>
      <name val="Aptos Narrow"/>
      <family val="2"/>
    </font>
    <font>
      <sz val="10"/>
      <name val="Aptos Narrow"/>
      <family val="2"/>
    </font>
    <font>
      <i/>
      <sz val="11"/>
      <color rgb="FFFF0000"/>
      <name val="Aptos Narrow"/>
      <family val="2"/>
    </font>
    <font>
      <b/>
      <sz val="10"/>
      <name val="Aptos Narrow"/>
      <family val="2"/>
    </font>
    <font>
      <sz val="9"/>
      <color theme="1"/>
      <name val="Aptos Narrow"/>
      <family val="2"/>
    </font>
    <font>
      <sz val="9"/>
      <name val="Aptos Narrow"/>
      <family val="2"/>
    </font>
    <font>
      <strike/>
      <sz val="9"/>
      <name val="Aptos Narrow"/>
      <family val="2"/>
    </font>
    <font>
      <b/>
      <sz val="11"/>
      <color theme="1"/>
      <name val="Aptos Narrow"/>
      <family val="2"/>
    </font>
    <font>
      <b/>
      <strike/>
      <sz val="11"/>
      <name val="Aptos Narrow"/>
      <family val="2"/>
    </font>
    <font>
      <b/>
      <strike/>
      <sz val="11"/>
      <color rgb="FFFF0000"/>
      <name val="Aptos Narrow"/>
      <family val="2"/>
    </font>
    <font>
      <sz val="11"/>
      <color theme="1"/>
      <name val="Aptos Narrow"/>
      <family val="2"/>
    </font>
    <font>
      <strike/>
      <sz val="11"/>
      <color rgb="FFFF0000"/>
      <name val="Aptos Narrow"/>
      <family val="2"/>
    </font>
    <font>
      <b/>
      <sz val="16"/>
      <color theme="1"/>
      <name val="Aptos Narrow"/>
      <family val="2"/>
    </font>
    <font>
      <b/>
      <sz val="14"/>
      <color rgb="FFFF0000"/>
      <name val="Aptos Narrow"/>
      <family val="2"/>
    </font>
    <font>
      <b/>
      <sz val="14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10">
    <xf numFmtId="0" fontId="0" fillId="0" borderId="0" xfId="0"/>
    <xf numFmtId="0" fontId="3" fillId="0" borderId="0" xfId="1" applyFont="1"/>
    <xf numFmtId="0" fontId="4" fillId="0" borderId="0" xfId="0" applyFont="1"/>
    <xf numFmtId="0" fontId="5" fillId="0" borderId="0" xfId="1" applyFont="1" applyFill="1" applyBorder="1" applyAlignment="1">
      <alignment horizontal="left"/>
    </xf>
    <xf numFmtId="0" fontId="6" fillId="0" borderId="0" xfId="1" applyFont="1" applyFill="1" applyBorder="1" applyAlignment="1">
      <alignment horizontal="center"/>
    </xf>
    <xf numFmtId="0" fontId="7" fillId="0" borderId="0" xfId="1" applyFont="1" applyFill="1" applyBorder="1" applyAlignment="1">
      <alignment horizontal="center"/>
    </xf>
    <xf numFmtId="0" fontId="3" fillId="0" borderId="0" xfId="1" applyFont="1" applyFill="1" applyBorder="1"/>
    <xf numFmtId="0" fontId="6" fillId="0" borderId="0" xfId="1" applyFont="1"/>
    <xf numFmtId="0" fontId="7" fillId="0" borderId="0" xfId="1" applyFont="1"/>
    <xf numFmtId="0" fontId="9" fillId="0" borderId="0" xfId="1" applyFont="1"/>
    <xf numFmtId="0" fontId="10" fillId="0" borderId="0" xfId="0" applyFont="1"/>
    <xf numFmtId="0" fontId="10" fillId="0" borderId="0" xfId="0" applyFont="1" applyAlignment="1">
      <alignment horizontal="center" wrapText="1"/>
    </xf>
    <xf numFmtId="0" fontId="8" fillId="0" borderId="17" xfId="1" applyFont="1" applyBorder="1"/>
    <xf numFmtId="0" fontId="7" fillId="0" borderId="11" xfId="1" applyFont="1" applyBorder="1"/>
    <xf numFmtId="0" fontId="12" fillId="0" borderId="0" xfId="1" applyFont="1"/>
    <xf numFmtId="0" fontId="11" fillId="0" borderId="11" xfId="1" applyFont="1" applyBorder="1" applyAlignment="1">
      <alignment horizontal="left" indent="2"/>
    </xf>
    <xf numFmtId="0" fontId="8" fillId="0" borderId="11" xfId="1" applyFont="1" applyBorder="1"/>
    <xf numFmtId="0" fontId="7" fillId="0" borderId="8" xfId="1" applyFont="1" applyBorder="1" applyAlignment="1">
      <alignment horizontal="left"/>
    </xf>
    <xf numFmtId="0" fontId="11" fillId="0" borderId="31" xfId="1" applyFont="1" applyBorder="1" applyAlignment="1">
      <alignment horizontal="left" indent="2"/>
    </xf>
    <xf numFmtId="0" fontId="13" fillId="0" borderId="0" xfId="1" applyNumberFormat="1" applyFont="1" applyAlignment="1">
      <alignment horizontal="left" wrapText="1"/>
    </xf>
    <xf numFmtId="0" fontId="14" fillId="4" borderId="20" xfId="1" applyFont="1" applyFill="1" applyBorder="1" applyAlignment="1">
      <alignment vertical="center"/>
    </xf>
    <xf numFmtId="0" fontId="15" fillId="4" borderId="19" xfId="1" applyFont="1" applyFill="1" applyBorder="1" applyAlignment="1">
      <alignment horizontal="center" vertical="center"/>
    </xf>
    <xf numFmtId="0" fontId="15" fillId="4" borderId="18" xfId="1" applyFont="1" applyFill="1" applyBorder="1" applyAlignment="1">
      <alignment horizontal="center" vertical="center" wrapText="1"/>
    </xf>
    <xf numFmtId="0" fontId="15" fillId="0" borderId="17" xfId="1" applyFont="1" applyBorder="1"/>
    <xf numFmtId="0" fontId="16" fillId="0" borderId="11" xfId="1" applyFont="1" applyBorder="1"/>
    <xf numFmtId="0" fontId="18" fillId="0" borderId="11" xfId="1" applyFont="1" applyBorder="1" applyAlignment="1">
      <alignment horizontal="left" indent="1"/>
    </xf>
    <xf numFmtId="0" fontId="18" fillId="0" borderId="26" xfId="1" applyFont="1" applyBorder="1" applyAlignment="1">
      <alignment horizontal="left" indent="1"/>
    </xf>
    <xf numFmtId="0" fontId="16" fillId="0" borderId="17" xfId="1" applyFont="1" applyBorder="1"/>
    <xf numFmtId="0" fontId="18" fillId="0" borderId="11" xfId="1" applyFont="1" applyBorder="1"/>
    <xf numFmtId="0" fontId="19" fillId="0" borderId="20" xfId="1" applyFont="1" applyBorder="1"/>
    <xf numFmtId="0" fontId="17" fillId="0" borderId="23" xfId="1" applyFont="1" applyBorder="1"/>
    <xf numFmtId="0" fontId="20" fillId="0" borderId="0" xfId="1" applyFont="1"/>
    <xf numFmtId="0" fontId="17" fillId="0" borderId="0" xfId="1" applyFont="1"/>
    <xf numFmtId="0" fontId="16" fillId="0" borderId="30" xfId="1" applyFont="1" applyBorder="1"/>
    <xf numFmtId="0" fontId="17" fillId="0" borderId="19" xfId="1" applyFont="1" applyBorder="1"/>
    <xf numFmtId="0" fontId="15" fillId="0" borderId="14" xfId="1" applyFont="1" applyBorder="1"/>
    <xf numFmtId="0" fontId="18" fillId="0" borderId="8" xfId="1" applyFont="1" applyBorder="1"/>
    <xf numFmtId="0" fontId="21" fillId="0" borderId="0" xfId="1" applyFont="1" applyBorder="1"/>
    <xf numFmtId="0" fontId="17" fillId="0" borderId="0" xfId="1" applyFont="1" applyBorder="1"/>
    <xf numFmtId="0" fontId="15" fillId="0" borderId="20" xfId="1" applyFont="1" applyBorder="1"/>
    <xf numFmtId="0" fontId="14" fillId="4" borderId="20" xfId="1" applyFont="1" applyFill="1" applyBorder="1" applyAlignment="1">
      <alignment vertical="center" wrapText="1"/>
    </xf>
    <xf numFmtId="0" fontId="18" fillId="0" borderId="11" xfId="1" applyFont="1" applyBorder="1" applyAlignment="1">
      <alignment horizontal="left" indent="2"/>
    </xf>
    <xf numFmtId="0" fontId="15" fillId="0" borderId="11" xfId="1" applyFont="1" applyBorder="1"/>
    <xf numFmtId="0" fontId="19" fillId="0" borderId="0" xfId="1" applyFont="1" applyBorder="1"/>
    <xf numFmtId="0" fontId="18" fillId="0" borderId="8" xfId="1" applyFont="1" applyBorder="1" applyAlignment="1">
      <alignment horizontal="left" indent="1"/>
    </xf>
    <xf numFmtId="0" fontId="17" fillId="0" borderId="23" xfId="1" applyFont="1" applyFill="1" applyBorder="1"/>
    <xf numFmtId="0" fontId="16" fillId="0" borderId="26" xfId="1" applyFont="1" applyBorder="1"/>
    <xf numFmtId="0" fontId="23" fillId="0" borderId="21" xfId="1" applyFont="1" applyBorder="1"/>
    <xf numFmtId="0" fontId="16" fillId="0" borderId="8" xfId="1" applyFont="1" applyBorder="1"/>
    <xf numFmtId="0" fontId="18" fillId="0" borderId="26" xfId="1" applyFont="1" applyBorder="1"/>
    <xf numFmtId="0" fontId="25" fillId="0" borderId="21" xfId="1" applyFont="1" applyBorder="1"/>
    <xf numFmtId="0" fontId="24" fillId="0" borderId="23" xfId="1" applyFont="1" applyBorder="1"/>
    <xf numFmtId="0" fontId="21" fillId="0" borderId="0" xfId="1" applyFont="1"/>
    <xf numFmtId="0" fontId="16" fillId="0" borderId="17" xfId="1" applyFont="1" applyBorder="1" applyAlignment="1">
      <alignment horizontal="left" indent="1"/>
    </xf>
    <xf numFmtId="0" fontId="16" fillId="0" borderId="11" xfId="1" applyFont="1" applyBorder="1" applyAlignment="1">
      <alignment horizontal="left" indent="3"/>
    </xf>
    <xf numFmtId="0" fontId="18" fillId="0" borderId="11" xfId="1" applyFont="1" applyBorder="1" applyAlignment="1">
      <alignment horizontal="left" indent="4"/>
    </xf>
    <xf numFmtId="0" fontId="18" fillId="0" borderId="8" xfId="1" applyFont="1" applyBorder="1" applyAlignment="1">
      <alignment horizontal="left" indent="4"/>
    </xf>
    <xf numFmtId="0" fontId="16" fillId="0" borderId="14" xfId="1" applyFont="1" applyBorder="1" applyAlignment="1">
      <alignment horizontal="left" indent="1"/>
    </xf>
    <xf numFmtId="0" fontId="16" fillId="0" borderId="11" xfId="1" applyFont="1" applyBorder="1" applyAlignment="1">
      <alignment horizontal="left" indent="2"/>
    </xf>
    <xf numFmtId="0" fontId="18" fillId="0" borderId="11" xfId="1" applyFont="1" applyBorder="1" applyAlignment="1">
      <alignment horizontal="left" indent="3"/>
    </xf>
    <xf numFmtId="0" fontId="18" fillId="0" borderId="8" xfId="1" applyFont="1" applyBorder="1" applyAlignment="1">
      <alignment horizontal="left" indent="3"/>
    </xf>
    <xf numFmtId="0" fontId="23" fillId="0" borderId="27" xfId="1" applyFont="1" applyBorder="1"/>
    <xf numFmtId="0" fontId="16" fillId="0" borderId="5" xfId="1" applyFont="1" applyBorder="1"/>
    <xf numFmtId="0" fontId="16" fillId="0" borderId="4" xfId="1" applyFont="1" applyBorder="1"/>
    <xf numFmtId="0" fontId="19" fillId="0" borderId="3" xfId="1" applyFont="1" applyBorder="1"/>
    <xf numFmtId="0" fontId="16" fillId="0" borderId="2" xfId="1" applyFont="1" applyBorder="1"/>
    <xf numFmtId="0" fontId="16" fillId="0" borderId="1" xfId="1" applyFont="1" applyBorder="1"/>
    <xf numFmtId="0" fontId="23" fillId="0" borderId="0" xfId="1" applyFont="1"/>
    <xf numFmtId="0" fontId="16" fillId="0" borderId="0" xfId="1" applyFont="1"/>
    <xf numFmtId="0" fontId="26" fillId="0" borderId="0" xfId="0" applyFont="1"/>
    <xf numFmtId="0" fontId="27" fillId="0" borderId="0" xfId="0" applyFont="1" applyAlignment="1">
      <alignment horizontal="center"/>
    </xf>
    <xf numFmtId="0" fontId="27" fillId="0" borderId="0" xfId="0" applyFont="1"/>
    <xf numFmtId="3" fontId="27" fillId="0" borderId="0" xfId="0" applyNumberFormat="1" applyFont="1"/>
    <xf numFmtId="3" fontId="27" fillId="0" borderId="0" xfId="0" applyNumberFormat="1" applyFont="1" applyFill="1"/>
    <xf numFmtId="0" fontId="27" fillId="0" borderId="0" xfId="0" applyFont="1" applyFill="1"/>
    <xf numFmtId="3" fontId="27" fillId="3" borderId="0" xfId="0" applyNumberFormat="1" applyFont="1" applyFill="1"/>
    <xf numFmtId="3" fontId="28" fillId="2" borderId="0" xfId="0" applyNumberFormat="1" applyFont="1" applyFill="1"/>
    <xf numFmtId="0" fontId="28" fillId="2" borderId="0" xfId="0" applyFont="1" applyFill="1"/>
    <xf numFmtId="164" fontId="27" fillId="0" borderId="0" xfId="0" applyNumberFormat="1" applyFont="1"/>
    <xf numFmtId="0" fontId="26" fillId="0" borderId="0" xfId="0" applyFont="1" applyAlignment="1">
      <alignment wrapText="1"/>
    </xf>
    <xf numFmtId="0" fontId="27" fillId="0" borderId="0" xfId="0" applyFont="1" applyAlignment="1">
      <alignment horizontal="center" wrapText="1"/>
    </xf>
    <xf numFmtId="0" fontId="27" fillId="0" borderId="0" xfId="0" applyFont="1" applyAlignment="1">
      <alignment wrapText="1"/>
    </xf>
    <xf numFmtId="3" fontId="27" fillId="0" borderId="0" xfId="0" applyNumberFormat="1" applyFont="1" applyAlignment="1">
      <alignment wrapText="1"/>
    </xf>
    <xf numFmtId="3" fontId="27" fillId="0" borderId="0" xfId="0" applyNumberFormat="1" applyFont="1" applyFill="1" applyAlignment="1">
      <alignment wrapText="1"/>
    </xf>
    <xf numFmtId="0" fontId="27" fillId="0" borderId="0" xfId="0" applyFont="1" applyFill="1" applyAlignment="1">
      <alignment wrapText="1"/>
    </xf>
    <xf numFmtId="3" fontId="27" fillId="3" borderId="0" xfId="0" applyNumberFormat="1" applyFont="1" applyFill="1" applyAlignment="1">
      <alignment wrapText="1"/>
    </xf>
    <xf numFmtId="0" fontId="27" fillId="3" borderId="0" xfId="0" applyFont="1" applyFill="1" applyAlignment="1">
      <alignment wrapText="1"/>
    </xf>
    <xf numFmtId="3" fontId="28" fillId="2" borderId="0" xfId="0" applyNumberFormat="1" applyFont="1" applyFill="1" applyAlignment="1">
      <alignment wrapText="1"/>
    </xf>
    <xf numFmtId="0" fontId="28" fillId="2" borderId="0" xfId="0" applyFont="1" applyFill="1" applyAlignment="1">
      <alignment wrapText="1"/>
    </xf>
    <xf numFmtId="164" fontId="27" fillId="0" borderId="0" xfId="0" applyNumberFormat="1" applyFont="1" applyAlignment="1">
      <alignment wrapText="1"/>
    </xf>
    <xf numFmtId="0" fontId="29" fillId="0" borderId="0" xfId="0" applyFont="1" applyAlignment="1">
      <alignment horizontal="center" wrapText="1"/>
    </xf>
    <xf numFmtId="0" fontId="15" fillId="0" borderId="0" xfId="0" applyFont="1" applyAlignment="1">
      <alignment horizontal="center" wrapText="1"/>
    </xf>
    <xf numFmtId="3" fontId="15" fillId="0" borderId="0" xfId="0" applyNumberFormat="1" applyFont="1" applyAlignment="1">
      <alignment horizontal="center" wrapText="1"/>
    </xf>
    <xf numFmtId="3" fontId="15" fillId="0" borderId="0" xfId="0" applyNumberFormat="1" applyFont="1" applyFill="1" applyAlignment="1">
      <alignment horizontal="center" wrapText="1"/>
    </xf>
    <xf numFmtId="0" fontId="15" fillId="0" borderId="0" xfId="0" applyFont="1" applyFill="1" applyAlignment="1">
      <alignment horizontal="center" wrapText="1"/>
    </xf>
    <xf numFmtId="3" fontId="15" fillId="3" borderId="0" xfId="0" applyNumberFormat="1" applyFont="1" applyFill="1" applyAlignment="1">
      <alignment horizontal="center" wrapText="1"/>
    </xf>
    <xf numFmtId="0" fontId="15" fillId="3" borderId="0" xfId="0" applyFont="1" applyFill="1" applyAlignment="1">
      <alignment horizontal="center" wrapText="1"/>
    </xf>
    <xf numFmtId="3" fontId="30" fillId="2" borderId="0" xfId="0" applyNumberFormat="1" applyFont="1" applyFill="1" applyAlignment="1">
      <alignment horizontal="center" wrapText="1"/>
    </xf>
    <xf numFmtId="0" fontId="30" fillId="2" borderId="0" xfId="0" applyFont="1" applyFill="1" applyAlignment="1">
      <alignment horizontal="center" wrapText="1"/>
    </xf>
    <xf numFmtId="164" fontId="15" fillId="0" borderId="0" xfId="0" applyNumberFormat="1" applyFont="1" applyAlignment="1">
      <alignment horizontal="center" wrapText="1"/>
    </xf>
    <xf numFmtId="0" fontId="29" fillId="0" borderId="0" xfId="0" applyFont="1"/>
    <xf numFmtId="3" fontId="31" fillId="2" borderId="0" xfId="0" applyNumberFormat="1" applyFont="1" applyFill="1" applyAlignment="1">
      <alignment horizontal="center" wrapText="1"/>
    </xf>
    <xf numFmtId="164" fontId="31" fillId="2" borderId="0" xfId="3" applyNumberFormat="1" applyFont="1" applyFill="1" applyAlignment="1">
      <alignment horizontal="center" wrapText="1"/>
    </xf>
    <xf numFmtId="164" fontId="15" fillId="0" borderId="0" xfId="3" applyNumberFormat="1" applyFont="1" applyAlignment="1">
      <alignment horizontal="center" wrapText="1"/>
    </xf>
    <xf numFmtId="0" fontId="32" fillId="0" borderId="0" xfId="0" applyFont="1"/>
    <xf numFmtId="3" fontId="33" fillId="2" borderId="0" xfId="0" applyNumberFormat="1" applyFont="1" applyFill="1"/>
    <xf numFmtId="164" fontId="33" fillId="2" borderId="0" xfId="3" applyNumberFormat="1" applyFont="1" applyFill="1"/>
    <xf numFmtId="3" fontId="16" fillId="0" borderId="0" xfId="0" applyNumberFormat="1" applyFont="1"/>
    <xf numFmtId="164" fontId="16" fillId="0" borderId="0" xfId="3" applyNumberFormat="1" applyFont="1"/>
    <xf numFmtId="0" fontId="16" fillId="0" borderId="0" xfId="0" applyFont="1" applyAlignment="1">
      <alignment horizontal="center"/>
    </xf>
    <xf numFmtId="0" fontId="16" fillId="0" borderId="0" xfId="0" applyFont="1"/>
    <xf numFmtId="3" fontId="16" fillId="0" borderId="0" xfId="0" applyNumberFormat="1" applyFont="1" applyFill="1"/>
    <xf numFmtId="0" fontId="16" fillId="0" borderId="0" xfId="0" applyFont="1" applyFill="1"/>
    <xf numFmtId="3" fontId="16" fillId="3" borderId="0" xfId="0" applyNumberFormat="1" applyFont="1" applyFill="1"/>
    <xf numFmtId="0" fontId="16" fillId="3" borderId="0" xfId="0" applyFont="1" applyFill="1"/>
    <xf numFmtId="3" fontId="16" fillId="2" borderId="0" xfId="0" applyNumberFormat="1" applyFont="1" applyFill="1"/>
    <xf numFmtId="0" fontId="16" fillId="2" borderId="0" xfId="0" applyFont="1" applyFill="1"/>
    <xf numFmtId="164" fontId="16" fillId="0" borderId="0" xfId="0" applyNumberFormat="1" applyFont="1"/>
    <xf numFmtId="3" fontId="15" fillId="0" borderId="16" xfId="1" applyNumberFormat="1" applyFont="1" applyFill="1" applyBorder="1"/>
    <xf numFmtId="3" fontId="16" fillId="0" borderId="10" xfId="1" applyNumberFormat="1" applyFont="1" applyFill="1" applyBorder="1"/>
    <xf numFmtId="164" fontId="16" fillId="0" borderId="10" xfId="1" applyNumberFormat="1" applyFont="1" applyBorder="1"/>
    <xf numFmtId="164" fontId="16" fillId="0" borderId="7" xfId="1" applyNumberFormat="1" applyFont="1" applyBorder="1"/>
    <xf numFmtId="164" fontId="16" fillId="0" borderId="25" xfId="1" applyNumberFormat="1" applyFont="1" applyBorder="1"/>
    <xf numFmtId="166" fontId="16" fillId="0" borderId="29" xfId="1" applyNumberFormat="1" applyFont="1" applyBorder="1"/>
    <xf numFmtId="3" fontId="15" fillId="0" borderId="13" xfId="1" applyNumberFormat="1" applyFont="1" applyBorder="1"/>
    <xf numFmtId="3" fontId="16" fillId="0" borderId="10" xfId="1" applyNumberFormat="1" applyFont="1" applyBorder="1"/>
    <xf numFmtId="3" fontId="15" fillId="0" borderId="19" xfId="1" applyNumberFormat="1" applyFont="1" applyBorder="1"/>
    <xf numFmtId="3" fontId="16" fillId="0" borderId="16" xfId="1" applyNumberFormat="1" applyFont="1" applyBorder="1"/>
    <xf numFmtId="3" fontId="15" fillId="0" borderId="10" xfId="1" applyNumberFormat="1" applyFont="1" applyBorder="1"/>
    <xf numFmtId="164" fontId="16" fillId="0" borderId="10" xfId="2" applyNumberFormat="1" applyFont="1" applyBorder="1"/>
    <xf numFmtId="3" fontId="16" fillId="0" borderId="7" xfId="1" applyNumberFormat="1" applyFont="1" applyBorder="1"/>
    <xf numFmtId="164" fontId="16" fillId="0" borderId="7" xfId="3" applyNumberFormat="1" applyFont="1" applyBorder="1"/>
    <xf numFmtId="3" fontId="15" fillId="0" borderId="16" xfId="1" applyNumberFormat="1" applyFont="1" applyBorder="1"/>
    <xf numFmtId="3" fontId="16" fillId="0" borderId="29" xfId="1" applyNumberFormat="1" applyFont="1" applyBorder="1"/>
    <xf numFmtId="3" fontId="15" fillId="0" borderId="19" xfId="1" applyNumberFormat="1" applyFont="1" applyBorder="1" applyAlignment="1">
      <alignment horizontal="right"/>
    </xf>
    <xf numFmtId="165" fontId="16" fillId="0" borderId="16" xfId="1" applyNumberFormat="1" applyFont="1" applyBorder="1"/>
    <xf numFmtId="165" fontId="16" fillId="0" borderId="10" xfId="1" applyNumberFormat="1" applyFont="1" applyBorder="1"/>
    <xf numFmtId="165" fontId="16" fillId="0" borderId="25" xfId="1" applyNumberFormat="1" applyFont="1" applyBorder="1"/>
    <xf numFmtId="0" fontId="15" fillId="0" borderId="19" xfId="1" applyFont="1" applyBorder="1" applyAlignment="1">
      <alignment horizontal="center"/>
    </xf>
    <xf numFmtId="0" fontId="16" fillId="0" borderId="10" xfId="1" applyFont="1" applyBorder="1"/>
    <xf numFmtId="0" fontId="16" fillId="0" borderId="19" xfId="1" applyFont="1" applyBorder="1"/>
    <xf numFmtId="3" fontId="16" fillId="0" borderId="19" xfId="1" applyNumberFormat="1" applyFont="1" applyBorder="1"/>
    <xf numFmtId="3" fontId="16" fillId="0" borderId="13" xfId="1" applyNumberFormat="1" applyFont="1" applyBorder="1"/>
    <xf numFmtId="3" fontId="16" fillId="0" borderId="0" xfId="0" applyNumberFormat="1" applyFont="1" applyAlignment="1">
      <alignment horizontal="center"/>
    </xf>
    <xf numFmtId="164" fontId="16" fillId="0" borderId="0" xfId="3" applyNumberFormat="1" applyFont="1" applyAlignment="1">
      <alignment horizontal="center"/>
    </xf>
    <xf numFmtId="164" fontId="16" fillId="0" borderId="0" xfId="0" applyNumberFormat="1" applyFont="1" applyAlignment="1">
      <alignment horizontal="center"/>
    </xf>
    <xf numFmtId="3" fontId="16" fillId="0" borderId="0" xfId="0" applyNumberFormat="1" applyFont="1" applyFill="1" applyAlignment="1">
      <alignment horizontal="center"/>
    </xf>
    <xf numFmtId="166" fontId="15" fillId="0" borderId="0" xfId="0" applyNumberFormat="1" applyFont="1" applyAlignment="1">
      <alignment horizontal="right" wrapText="1"/>
    </xf>
    <xf numFmtId="166" fontId="16" fillId="0" borderId="0" xfId="0" applyNumberFormat="1" applyFont="1" applyAlignment="1">
      <alignment horizontal="right"/>
    </xf>
    <xf numFmtId="164" fontId="16" fillId="0" borderId="0" xfId="3" applyNumberFormat="1" applyFont="1" applyAlignment="1">
      <alignment horizontal="center" wrapText="1"/>
    </xf>
    <xf numFmtId="164" fontId="16" fillId="0" borderId="0" xfId="3" applyNumberFormat="1" applyFont="1" applyAlignment="1">
      <alignment horizontal="right" wrapText="1"/>
    </xf>
    <xf numFmtId="164" fontId="15" fillId="0" borderId="0" xfId="3" applyNumberFormat="1" applyFont="1" applyFill="1" applyAlignment="1">
      <alignment horizontal="center" wrapText="1"/>
    </xf>
    <xf numFmtId="164" fontId="16" fillId="0" borderId="0" xfId="3" applyNumberFormat="1" applyFont="1" applyFill="1"/>
    <xf numFmtId="3" fontId="16" fillId="0" borderId="0" xfId="0" applyNumberFormat="1" applyFont="1" applyFill="1" applyAlignment="1">
      <alignment horizontal="right" wrapText="1"/>
    </xf>
    <xf numFmtId="164" fontId="16" fillId="0" borderId="0" xfId="3" applyNumberFormat="1" applyFont="1" applyFill="1" applyAlignment="1">
      <alignment horizontal="right" wrapText="1"/>
    </xf>
    <xf numFmtId="164" fontId="15" fillId="3" borderId="0" xfId="3" applyNumberFormat="1" applyFont="1" applyFill="1" applyAlignment="1">
      <alignment horizontal="center" wrapText="1"/>
    </xf>
    <xf numFmtId="164" fontId="16" fillId="3" borderId="0" xfId="3" applyNumberFormat="1" applyFont="1" applyFill="1"/>
    <xf numFmtId="164" fontId="15" fillId="3" borderId="0" xfId="3" applyNumberFormat="1" applyFont="1" applyFill="1" applyAlignment="1">
      <alignment horizontal="right" wrapText="1"/>
    </xf>
    <xf numFmtId="3" fontId="15" fillId="3" borderId="0" xfId="0" applyNumberFormat="1" applyFont="1" applyFill="1" applyAlignment="1">
      <alignment wrapText="1"/>
    </xf>
    <xf numFmtId="164" fontId="15" fillId="3" borderId="0" xfId="3" applyNumberFormat="1" applyFont="1" applyFill="1" applyAlignment="1">
      <alignment wrapText="1"/>
    </xf>
    <xf numFmtId="3" fontId="15" fillId="3" borderId="0" xfId="0" applyNumberFormat="1" applyFont="1" applyFill="1" applyAlignment="1">
      <alignment horizontal="right" wrapText="1"/>
    </xf>
    <xf numFmtId="9" fontId="16" fillId="3" borderId="0" xfId="3" applyFont="1" applyFill="1"/>
    <xf numFmtId="165" fontId="15" fillId="0" borderId="0" xfId="0" applyNumberFormat="1" applyFont="1" applyAlignment="1">
      <alignment horizontal="right" wrapText="1"/>
    </xf>
    <xf numFmtId="165" fontId="16" fillId="0" borderId="0" xfId="0" applyNumberFormat="1" applyFont="1" applyAlignment="1">
      <alignment horizontal="right"/>
    </xf>
    <xf numFmtId="3" fontId="15" fillId="0" borderId="15" xfId="1" applyNumberFormat="1" applyFont="1" applyFill="1" applyBorder="1"/>
    <xf numFmtId="3" fontId="16" fillId="0" borderId="15" xfId="1" applyNumberFormat="1" applyFont="1" applyFill="1" applyBorder="1"/>
    <xf numFmtId="164" fontId="16" fillId="0" borderId="9" xfId="1" applyNumberFormat="1" applyFont="1" applyBorder="1"/>
    <xf numFmtId="164" fontId="16" fillId="0" borderId="24" xfId="1" applyNumberFormat="1" applyFont="1" applyBorder="1"/>
    <xf numFmtId="3" fontId="16" fillId="0" borderId="9" xfId="1" applyNumberFormat="1" applyFont="1" applyFill="1" applyBorder="1"/>
    <xf numFmtId="164" fontId="16" fillId="0" borderId="9" xfId="2" applyNumberFormat="1" applyFont="1" applyFill="1" applyBorder="1"/>
    <xf numFmtId="0" fontId="16" fillId="0" borderId="22" xfId="1" applyFont="1" applyBorder="1"/>
    <xf numFmtId="166" fontId="16" fillId="0" borderId="9" xfId="2" applyNumberFormat="1" applyFont="1" applyFill="1" applyBorder="1"/>
    <xf numFmtId="0" fontId="16" fillId="0" borderId="18" xfId="1" applyFont="1" applyBorder="1"/>
    <xf numFmtId="3" fontId="15" fillId="0" borderId="12" xfId="1" applyNumberFormat="1" applyFont="1" applyBorder="1"/>
    <xf numFmtId="3" fontId="16" fillId="0" borderId="9" xfId="1" applyNumberFormat="1" applyFont="1" applyBorder="1"/>
    <xf numFmtId="0" fontId="16" fillId="0" borderId="0" xfId="1" applyFont="1" applyBorder="1"/>
    <xf numFmtId="3" fontId="15" fillId="0" borderId="18" xfId="1" applyNumberFormat="1" applyFont="1" applyFill="1" applyBorder="1"/>
    <xf numFmtId="164" fontId="16" fillId="0" borderId="9" xfId="1" applyNumberFormat="1" applyFont="1" applyFill="1" applyBorder="1"/>
    <xf numFmtId="164" fontId="16" fillId="0" borderId="6" xfId="1" applyNumberFormat="1" applyFont="1" applyFill="1" applyBorder="1"/>
    <xf numFmtId="164" fontId="16" fillId="0" borderId="9" xfId="2" applyNumberFormat="1" applyFont="1" applyBorder="1"/>
    <xf numFmtId="3" fontId="15" fillId="0" borderId="9" xfId="1" applyNumberFormat="1" applyFont="1" applyBorder="1"/>
    <xf numFmtId="3" fontId="16" fillId="0" borderId="6" xfId="1" applyNumberFormat="1" applyFont="1" applyBorder="1"/>
    <xf numFmtId="164" fontId="16" fillId="0" borderId="6" xfId="3" applyNumberFormat="1" applyFont="1" applyBorder="1"/>
    <xf numFmtId="3" fontId="16" fillId="0" borderId="28" xfId="1" applyNumberFormat="1" applyFont="1" applyFill="1" applyBorder="1"/>
    <xf numFmtId="3" fontId="15" fillId="0" borderId="18" xfId="1" applyNumberFormat="1" applyFont="1" applyFill="1" applyBorder="1" applyAlignment="1">
      <alignment horizontal="right"/>
    </xf>
    <xf numFmtId="164" fontId="16" fillId="0" borderId="24" xfId="1" applyNumberFormat="1" applyFont="1" applyFill="1" applyBorder="1"/>
    <xf numFmtId="0" fontId="15" fillId="0" borderId="18" xfId="1" applyFont="1" applyFill="1" applyBorder="1"/>
    <xf numFmtId="0" fontId="16" fillId="0" borderId="15" xfId="1" applyFont="1" applyFill="1" applyBorder="1"/>
    <xf numFmtId="0" fontId="16" fillId="0" borderId="22" xfId="1" applyFont="1" applyFill="1" applyBorder="1"/>
    <xf numFmtId="165" fontId="16" fillId="0" borderId="15" xfId="1" applyNumberFormat="1" applyFont="1" applyFill="1" applyBorder="1"/>
    <xf numFmtId="165" fontId="16" fillId="0" borderId="9" xfId="1" applyNumberFormat="1" applyFont="1" applyFill="1" applyBorder="1" applyAlignment="1">
      <alignment horizontal="right"/>
    </xf>
    <xf numFmtId="165" fontId="16" fillId="0" borderId="9" xfId="1" applyNumberFormat="1" applyFont="1" applyFill="1" applyBorder="1"/>
    <xf numFmtId="165" fontId="16" fillId="0" borderId="24" xfId="1" applyNumberFormat="1" applyFont="1" applyFill="1" applyBorder="1"/>
    <xf numFmtId="3" fontId="15" fillId="0" borderId="9" xfId="1" applyNumberFormat="1" applyFont="1" applyFill="1" applyBorder="1"/>
    <xf numFmtId="3" fontId="16" fillId="0" borderId="6" xfId="1" applyNumberFormat="1" applyFont="1" applyFill="1" applyBorder="1"/>
    <xf numFmtId="0" fontId="15" fillId="0" borderId="18" xfId="1" applyFont="1" applyBorder="1" applyAlignment="1">
      <alignment horizontal="center"/>
    </xf>
    <xf numFmtId="0" fontId="16" fillId="0" borderId="9" xfId="1" applyFont="1" applyFill="1" applyBorder="1"/>
    <xf numFmtId="0" fontId="16" fillId="0" borderId="18" xfId="1" applyFont="1" applyFill="1" applyBorder="1"/>
    <xf numFmtId="3" fontId="16" fillId="0" borderId="18" xfId="1" applyNumberFormat="1" applyFont="1" applyFill="1" applyBorder="1"/>
    <xf numFmtId="0" fontId="18" fillId="0" borderId="22" xfId="1" applyFont="1" applyBorder="1"/>
    <xf numFmtId="3" fontId="16" fillId="0" borderId="12" xfId="1" applyNumberFormat="1" applyFont="1" applyFill="1" applyBorder="1"/>
    <xf numFmtId="0" fontId="19" fillId="0" borderId="21" xfId="1" applyFont="1" applyBorder="1" applyAlignment="1"/>
    <xf numFmtId="0" fontId="0" fillId="0" borderId="23" xfId="0" applyBorder="1" applyAlignment="1"/>
    <xf numFmtId="0" fontId="0" fillId="0" borderId="22" xfId="0" applyBorder="1" applyAlignment="1"/>
    <xf numFmtId="0" fontId="15" fillId="0" borderId="0" xfId="1" applyFont="1" applyAlignment="1">
      <alignment horizontal="center" vertical="center"/>
    </xf>
    <xf numFmtId="0" fontId="35" fillId="0" borderId="0" xfId="1" applyFont="1" applyAlignment="1">
      <alignment horizontal="left" vertical="center"/>
    </xf>
    <xf numFmtId="0" fontId="36" fillId="0" borderId="0" xfId="1" applyFont="1" applyAlignment="1">
      <alignment horizontal="left" vertical="center"/>
    </xf>
    <xf numFmtId="0" fontId="14" fillId="0" borderId="0" xfId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" fillId="0" borderId="0" xfId="1" applyFont="1" applyAlignment="1">
      <alignment horizontal="right"/>
    </xf>
  </cellXfs>
  <cellStyles count="4">
    <cellStyle name="Normal" xfId="0" builtinId="0"/>
    <cellStyle name="Normal 2" xfId="1" xr:uid="{00000000-0005-0000-0000-000001000000}"/>
    <cellStyle name="Percent" xfId="3" builtinId="5"/>
    <cellStyle name="Percent 2" xfId="2" xr:uid="{00000000-0005-0000-0000-000003000000}"/>
  </cellStyles>
  <dxfs count="0"/>
  <tableStyles count="0" defaultTableStyle="TableStyleMedium2" defaultPivotStyle="PivotStyleMedium9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Lines="20" dropStyle="combo" dx="16" fmlaLink="$A$78" fmlaRange="$B$5:$B$76" noThreeD="1" sel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85667</xdr:colOff>
      <xdr:row>4</xdr:row>
      <xdr:rowOff>29845</xdr:rowOff>
    </xdr:from>
    <xdr:to>
      <xdr:col>6</xdr:col>
      <xdr:colOff>847667</xdr:colOff>
      <xdr:row>19</xdr:row>
      <xdr:rowOff>101282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87894" y="1164186"/>
          <a:ext cx="6425046" cy="2799051"/>
        </a:xfrm>
        <a:prstGeom prst="rect">
          <a:avLst/>
        </a:prstGeom>
        <a:solidFill>
          <a:schemeClr val="l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45720" tIns="91440" rIns="45720" bIns="91440" rtlCol="0" anchor="t"/>
        <a:lstStyle/>
        <a:p>
          <a:pPr algn="l"/>
          <a:r>
            <a:rPr lang="en-US" sz="1100" i="0">
              <a:solidFill>
                <a:sysClr val="windowText" lastClr="000000"/>
              </a:solidFill>
              <a:latin typeface="Aptos Narrow" panose="020B0004020202020204" pitchFamily="34" charset="0"/>
            </a:rPr>
            <a:t>The American Community Survey </a:t>
          </a:r>
          <a:r>
            <a:rPr lang="en-US" sz="1100" b="1" i="0">
              <a:solidFill>
                <a:sysClr val="windowText" lastClr="000000"/>
              </a:solidFill>
              <a:latin typeface="Aptos Narrow" panose="020B0004020202020204" pitchFamily="34" charset="0"/>
            </a:rPr>
            <a:t>(ACS) </a:t>
          </a:r>
          <a:r>
            <a:rPr lang="en-US" sz="1100" i="0">
              <a:solidFill>
                <a:sysClr val="windowText" lastClr="000000"/>
              </a:solidFill>
              <a:latin typeface="Aptos Narrow" panose="020B0004020202020204" pitchFamily="34" charset="0"/>
            </a:rPr>
            <a:t>is an annual survey administered by the U.S. Bureau of Census.</a:t>
          </a:r>
          <a:r>
            <a:rPr lang="en-US" sz="1100" i="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 D</a:t>
          </a:r>
          <a:r>
            <a:rPr lang="en-US" sz="1100" i="0">
              <a:solidFill>
                <a:sysClr val="windowText" lastClr="000000"/>
              </a:solidFill>
              <a:latin typeface="Aptos Narrow" panose="020B0004020202020204" pitchFamily="34" charset="0"/>
            </a:rPr>
            <a:t>ata are collected </a:t>
          </a:r>
          <a:r>
            <a:rPr lang="en-US" sz="1100" i="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from 3.5 million housing units, nationally. More than 100,000 of these sampled households are in Wisconsin. Those in </a:t>
          </a:r>
          <a:r>
            <a:rPr lang="en-US">
              <a:solidFill>
                <a:sysClr val="windowText" lastClr="000000"/>
              </a:solidFill>
              <a:effectLst/>
              <a:latin typeface="Aptos Narrow" panose="020B0004020202020204" pitchFamily="34" charset="0"/>
            </a:rPr>
            <a:t>group housing facilities such as college/university student housing and nursing/skilled nursing facilities</a:t>
          </a:r>
          <a:r>
            <a:rPr lang="en-US" baseline="0">
              <a:solidFill>
                <a:sysClr val="windowText" lastClr="000000"/>
              </a:solidFill>
              <a:effectLst/>
              <a:latin typeface="Aptos Narrow" panose="020B0004020202020204" pitchFamily="34" charset="0"/>
            </a:rPr>
            <a:t> are also surveyed. Wisconsin's housing unit response rate to the ACS was 88.2% in 2024.</a:t>
          </a:r>
          <a:endParaRPr lang="en-US" sz="1100" i="0">
            <a:solidFill>
              <a:sysClr val="windowText" lastClr="000000"/>
            </a:solidFill>
            <a:latin typeface="Aptos Narrow" panose="020B0004020202020204" pitchFamily="34" charset="0"/>
          </a:endParaRPr>
        </a:p>
        <a:p>
          <a:pPr algn="l"/>
          <a:endParaRPr lang="en-US" sz="1100" b="0" i="0" u="none" strike="noStrike">
            <a:solidFill>
              <a:schemeClr val="dk1"/>
            </a:solidFill>
            <a:effectLst/>
            <a:latin typeface="Aptos Narrow" panose="020B0004020202020204" pitchFamily="34" charset="0"/>
            <a:ea typeface="+mn-ea"/>
            <a:cs typeface="+mn-cs"/>
          </a:endParaRPr>
        </a:p>
        <a:p>
          <a:pPr algn="l"/>
          <a:r>
            <a:rPr lang="en-US" sz="1100" b="0" i="0" u="none" strike="noStrike">
              <a:solidFill>
                <a:schemeClr val="dk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To derive robust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statistics, especially for rural, smaller geographies,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the Census bureau</a:t>
          </a:r>
          <a:r>
            <a:rPr lang="en-US" sz="1100" i="0">
              <a:latin typeface="Aptos Narrow" panose="020B0004020202020204" pitchFamily="34" charset="0"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combines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five years of social,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demographic, and economic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data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and creates a five-year average statistical file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.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This multiple-year file is the only annually-released U.S. Census dataset detailing every county in Wisconsin. With the exception of the race and ethnicity data, the profile contains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2020-2024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ACS data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comparing each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county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to respective statewide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measures</a:t>
          </a:r>
          <a:r>
            <a:rPr lang="en-US" sz="1100" b="0" i="0" u="none" strike="noStrike">
              <a:solidFill>
                <a:sysClr val="windowText" lastClr="000000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.</a:t>
          </a:r>
          <a:r>
            <a:rPr lang="en-US" sz="1100" b="0" i="0" u="none" strike="noStrike" baseline="0">
              <a:solidFill>
                <a:sysClr val="windowText" lastClr="000000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</a:t>
          </a:r>
        </a:p>
        <a:p>
          <a:pPr algn="l"/>
          <a:endParaRPr lang="en-US" sz="1100" b="0" i="0" u="none" strike="noStrike" baseline="0">
            <a:solidFill>
              <a:sysClr val="windowText" lastClr="000000"/>
            </a:solidFill>
            <a:effectLst/>
            <a:latin typeface="Aptos Narrow" panose="020B0004020202020204" pitchFamily="34" charset="0"/>
            <a:ea typeface="+mn-ea"/>
            <a:cs typeface="+mn-cs"/>
          </a:endParaRPr>
        </a:p>
        <a:p>
          <a:r>
            <a:rPr lang="en-US" sz="1100" i="0">
              <a:solidFill>
                <a:schemeClr val="dk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These aging profiles are updated annually and published in the first quarter of the calendar year. Comparing the current profile to its predecessors</a:t>
          </a:r>
          <a:r>
            <a:rPr lang="en-US" sz="1100" i="0" baseline="0">
              <a:solidFill>
                <a:schemeClr val="dk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</a:t>
          </a:r>
          <a:r>
            <a:rPr lang="en-US" sz="1100" i="0">
              <a:solidFill>
                <a:schemeClr val="dk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as a measure of change is not advised because of methodological issues. Please contact Eric Grosso if you have questions about this or other data-related questions at 608.266.7803 or ericr.grosso@wisconsin.gov. </a:t>
          </a:r>
          <a:endParaRPr lang="en-US">
            <a:effectLst/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5</xdr:col>
      <xdr:colOff>557068</xdr:colOff>
      <xdr:row>2</xdr:row>
      <xdr:rowOff>70716</xdr:rowOff>
    </xdr:from>
    <xdr:to>
      <xdr:col>6</xdr:col>
      <xdr:colOff>695816</xdr:colOff>
      <xdr:row>2</xdr:row>
      <xdr:rowOff>299316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pSpPr/>
      </xdr:nvGrpSpPr>
      <xdr:grpSpPr>
        <a:xfrm>
          <a:off x="5629131" y="856529"/>
          <a:ext cx="1051560" cy="228600"/>
          <a:chOff x="595312" y="468311"/>
          <a:chExt cx="1051560" cy="22860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/>
        </xdr:nvSpPr>
        <xdr:spPr>
          <a:xfrm>
            <a:off x="595312" y="468311"/>
            <a:ext cx="1051560" cy="228600"/>
          </a:xfrm>
          <a:prstGeom prst="rect">
            <a:avLst/>
          </a:prstGeom>
          <a:solidFill>
            <a:srgbClr val="FF0000"/>
          </a:solidFill>
          <a:ln w="63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Drop Down 1" hidden="1">
                <a:extLst>
                  <a:ext uri="{63B3BB69-23CF-44E3-9099-C40C66FF867C}">
                    <a14:compatExt spid="_x0000_s1025"/>
                  </a:ext>
                  <a:ext uri="{FF2B5EF4-FFF2-40B4-BE49-F238E27FC236}">
                    <a16:creationId xmlns:a16="http://schemas.microsoft.com/office/drawing/2014/main" id="{00000000-0008-0000-0100-000001040000}"/>
                  </a:ext>
                </a:extLst>
              </xdr:cNvPr>
              <xdr:cNvSpPr/>
            </xdr:nvSpPr>
            <xdr:spPr bwMode="auto">
              <a:xfrm>
                <a:off x="657225" y="485775"/>
                <a:ext cx="923925" cy="200025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 editAs="oneCell">
    <xdr:from>
      <xdr:col>4</xdr:col>
      <xdr:colOff>15875</xdr:colOff>
      <xdr:row>0</xdr:row>
      <xdr:rowOff>15876</xdr:rowOff>
    </xdr:from>
    <xdr:to>
      <xdr:col>4</xdr:col>
      <xdr:colOff>2182812</xdr:colOff>
      <xdr:row>1</xdr:row>
      <xdr:rowOff>1725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0EE5153-6747-CFAA-2770-5D7AD09CA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3" y="15876"/>
          <a:ext cx="2166937" cy="4224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T76"/>
  <sheetViews>
    <sheetView topLeftCell="BK40" zoomScaleNormal="100" workbookViewId="0">
      <selection activeCell="BB25" sqref="BB25"/>
    </sheetView>
  </sheetViews>
  <sheetFormatPr defaultColWidth="8.85546875" defaultRowHeight="15" x14ac:dyDescent="0.25"/>
  <cols>
    <col min="1" max="1" width="15.5703125" style="104" customWidth="1"/>
    <col min="2" max="14" width="9.140625" style="109"/>
    <col min="15" max="15" width="9.140625" style="110"/>
    <col min="16" max="16" width="12.140625" style="110" customWidth="1"/>
    <col min="17" max="17" width="10.140625" style="110" customWidth="1"/>
    <col min="18" max="18" width="11.5703125" style="110" bestFit="1" customWidth="1"/>
    <col min="19" max="19" width="9.140625" style="110"/>
    <col min="20" max="20" width="11.5703125" style="110" bestFit="1" customWidth="1"/>
    <col min="21" max="22" width="9.140625" style="107"/>
    <col min="23" max="23" width="11.5703125" style="110" bestFit="1" customWidth="1"/>
    <col min="24" max="24" width="9.140625" style="107"/>
    <col min="25" max="25" width="11.5703125" style="110" bestFit="1" customWidth="1"/>
    <col min="26" max="26" width="9.140625" style="107"/>
    <col min="27" max="27" width="10.5703125" style="110" bestFit="1" customWidth="1"/>
    <col min="28" max="28" width="9.140625" style="107"/>
    <col min="29" max="29" width="11.5703125" style="110" bestFit="1" customWidth="1"/>
    <col min="30" max="30" width="9.140625" style="107"/>
    <col min="31" max="31" width="11.5703125" style="110" bestFit="1" customWidth="1"/>
    <col min="32" max="33" width="9.140625" style="107"/>
    <col min="34" max="34" width="11.5703125" style="110" bestFit="1" customWidth="1"/>
    <col min="35" max="35" width="9.140625" style="107"/>
    <col min="36" max="36" width="11.5703125" style="110" bestFit="1" customWidth="1"/>
    <col min="37" max="37" width="9.140625" style="107"/>
    <col min="38" max="38" width="11.5703125" style="110" bestFit="1" customWidth="1"/>
    <col min="39" max="39" width="9.140625" style="107"/>
    <col min="40" max="40" width="11.5703125" style="110" bestFit="1" customWidth="1"/>
    <col min="41" max="41" width="9.140625" style="107"/>
    <col min="42" max="42" width="11.5703125" style="110" bestFit="1" customWidth="1"/>
    <col min="43" max="44" width="9.140625" style="107"/>
    <col min="45" max="45" width="10.5703125" style="110" bestFit="1" customWidth="1"/>
    <col min="46" max="46" width="9.140625" style="107"/>
    <col min="47" max="47" width="11.5703125" style="110" bestFit="1" customWidth="1"/>
    <col min="48" max="48" width="9.140625" style="107"/>
    <col min="49" max="49" width="11.5703125" style="110" bestFit="1" customWidth="1"/>
    <col min="50" max="50" width="9.140625" style="107"/>
    <col min="51" max="51" width="11.5703125" style="110" bestFit="1" customWidth="1"/>
    <col min="52" max="52" width="9.140625" style="107"/>
    <col min="53" max="53" width="11.5703125" style="110" bestFit="1" customWidth="1"/>
    <col min="54" max="54" width="9.140625" style="111"/>
    <col min="55" max="55" width="9.140625" style="112"/>
    <col min="56" max="56" width="10.5703125" style="112" customWidth="1"/>
    <col min="57" max="57" width="9.140625" style="111"/>
    <col min="58" max="59" width="9.140625" style="112"/>
    <col min="60" max="61" width="9.140625" style="111"/>
    <col min="62" max="62" width="11.5703125" style="112" bestFit="1" customWidth="1"/>
    <col min="63" max="64" width="9.140625" style="107"/>
    <col min="65" max="65" width="11.5703125" style="110" bestFit="1" customWidth="1"/>
    <col min="66" max="67" width="9.140625" style="107"/>
    <col min="68" max="68" width="9.140625" style="110"/>
    <col min="69" max="70" width="9.140625" style="107"/>
    <col min="71" max="71" width="9.140625" style="110"/>
    <col min="72" max="73" width="9.140625" style="113"/>
    <col min="74" max="74" width="9.5703125" style="114" bestFit="1" customWidth="1"/>
    <col min="75" max="75" width="9.140625" style="114"/>
    <col min="76" max="76" width="10.42578125" style="113" customWidth="1"/>
    <col min="77" max="77" width="9.140625" style="113"/>
    <col min="78" max="78" width="11.5703125" style="114" bestFit="1" customWidth="1"/>
    <col min="79" max="79" width="9.140625" style="114"/>
    <col min="80" max="81" width="9.140625" style="113"/>
    <col min="82" max="82" width="11.5703125" style="114" bestFit="1" customWidth="1"/>
    <col min="83" max="83" width="9.140625" style="114"/>
    <col min="84" max="85" width="9.140625" style="113"/>
    <col min="86" max="87" width="9.140625" style="114"/>
    <col min="88" max="88" width="9.140625" style="113" customWidth="1"/>
    <col min="89" max="89" width="9.140625" style="113"/>
    <col min="90" max="90" width="11.5703125" style="114" bestFit="1" customWidth="1"/>
    <col min="91" max="91" width="9.140625" style="114"/>
    <col min="92" max="93" width="9.140625" style="113"/>
    <col min="94" max="95" width="9.140625" style="114"/>
    <col min="96" max="97" width="9.140625" style="115"/>
    <col min="98" max="99" width="9.140625" style="116"/>
    <col min="100" max="101" width="9.140625" style="113"/>
    <col min="102" max="102" width="9.140625" style="114"/>
    <col min="103" max="103" width="9.140625" style="114" customWidth="1"/>
    <col min="104" max="105" width="9.140625" style="113"/>
    <col min="106" max="107" width="11.5703125" style="114" bestFit="1" customWidth="1"/>
    <col min="108" max="112" width="9.140625" style="107"/>
    <col min="113" max="115" width="11.5703125" style="110" bestFit="1" customWidth="1"/>
    <col min="116" max="120" width="9.140625" style="107"/>
    <col min="121" max="123" width="9.140625" style="110"/>
    <col min="124" max="128" width="9.140625" style="107"/>
    <col min="129" max="131" width="9.140625" style="110"/>
    <col min="132" max="132" width="9.140625" style="107"/>
    <col min="133" max="133" width="9.140625" style="110"/>
    <col min="134" max="134" width="10.5703125" style="110" bestFit="1" customWidth="1"/>
    <col min="135" max="135" width="9.140625" style="107"/>
    <col min="136" max="136" width="9.140625" style="110"/>
    <col min="137" max="137" width="9.140625" style="107" customWidth="1"/>
    <col min="138" max="138" width="9.140625" style="110"/>
    <col min="139" max="139" width="9.140625" style="107"/>
    <col min="140" max="140" width="9.140625" style="110"/>
    <col min="141" max="141" width="9.140625" style="107"/>
    <col min="142" max="142" width="9.140625" style="110"/>
    <col min="143" max="143" width="9.140625" style="107"/>
    <col min="144" max="149" width="9.140625" style="110"/>
    <col min="150" max="151" width="9.140625" style="107"/>
    <col min="152" max="152" width="11.5703125" style="110" bestFit="1" customWidth="1"/>
    <col min="153" max="154" width="9.140625" style="107"/>
    <col min="155" max="155" width="9.140625" style="110"/>
    <col min="156" max="157" width="9.140625" style="107"/>
    <col min="158" max="158" width="9.140625" style="110"/>
    <col min="159" max="160" width="9.140625" style="107"/>
    <col min="161" max="161" width="11.5703125" style="110" bestFit="1" customWidth="1"/>
    <col min="162" max="162" width="9.140625" style="107"/>
    <col min="163" max="163" width="9.140625" style="110"/>
    <col min="164" max="164" width="9.140625" style="107"/>
    <col min="165" max="165" width="9.140625" style="110"/>
    <col min="166" max="166" width="9.140625" style="107"/>
    <col min="167" max="167" width="9.140625" style="110" customWidth="1"/>
    <col min="168" max="168" width="9.140625" style="107"/>
    <col min="169" max="169" width="9.140625" style="110"/>
    <col min="170" max="170" width="9.140625" style="107"/>
    <col min="171" max="171" width="9.140625" style="117"/>
    <col min="172" max="172" width="9.140625" style="107"/>
    <col min="173" max="173" width="9.140625" style="117"/>
    <col min="174" max="174" width="9.140625" style="107"/>
    <col min="175" max="175" width="9.140625" style="117"/>
    <col min="176" max="176" width="9.140625" style="110"/>
    <col min="177" max="177" width="9.140625" style="117"/>
    <col min="178" max="178" width="9.140625" style="107"/>
    <col min="179" max="179" width="9.140625" style="117"/>
    <col min="180" max="180" width="9.140625" style="107"/>
    <col min="181" max="181" width="9.140625" style="117"/>
    <col min="182" max="182" width="9.140625" style="107"/>
    <col min="183" max="183" width="9.140625" style="117"/>
    <col min="184" max="184" width="9.140625" style="107"/>
    <col min="185" max="185" width="9.140625" style="117"/>
    <col min="186" max="186" width="9.140625" style="107"/>
    <col min="187" max="187" width="9.140625" style="117"/>
    <col min="188" max="188" width="9.140625" style="107"/>
    <col min="189" max="189" width="9.140625" style="117"/>
    <col min="190" max="191" width="9.140625" style="107"/>
    <col min="192" max="192" width="11.5703125" style="110" bestFit="1" customWidth="1"/>
    <col min="193" max="193" width="9.140625" style="107"/>
    <col min="194" max="194" width="11.5703125" style="110" bestFit="1" customWidth="1"/>
    <col min="195" max="195" width="9.140625" style="107"/>
    <col min="196" max="196" width="11.5703125" style="110" bestFit="1" customWidth="1"/>
    <col min="197" max="197" width="9.140625" style="107"/>
    <col min="198" max="198" width="11.5703125" style="110" bestFit="1" customWidth="1"/>
    <col min="199" max="199" width="9.140625" style="107"/>
    <col min="200" max="200" width="11.5703125" style="110" bestFit="1" customWidth="1"/>
    <col min="201" max="201" width="9.140625" style="107"/>
    <col min="202" max="202" width="11.5703125" style="110" bestFit="1" customWidth="1"/>
    <col min="203" max="16384" width="8.85546875" style="104"/>
  </cols>
  <sheetData>
    <row r="1" spans="1:202" s="69" customFormat="1" ht="12" x14ac:dyDescent="0.2">
      <c r="B1" s="70" t="s">
        <v>257</v>
      </c>
      <c r="C1" s="70" t="s">
        <v>257</v>
      </c>
      <c r="D1" s="70" t="s">
        <v>257</v>
      </c>
      <c r="E1" s="70" t="s">
        <v>257</v>
      </c>
      <c r="F1" s="70" t="s">
        <v>257</v>
      </c>
      <c r="G1" s="70" t="s">
        <v>257</v>
      </c>
      <c r="H1" s="70" t="s">
        <v>257</v>
      </c>
      <c r="I1" s="70" t="s">
        <v>257</v>
      </c>
      <c r="J1" s="70" t="s">
        <v>257</v>
      </c>
      <c r="K1" s="70" t="s">
        <v>257</v>
      </c>
      <c r="L1" s="70" t="s">
        <v>257</v>
      </c>
      <c r="M1" s="70" t="s">
        <v>257</v>
      </c>
      <c r="N1" s="70" t="s">
        <v>257</v>
      </c>
      <c r="O1" s="71" t="s">
        <v>258</v>
      </c>
      <c r="P1" s="71" t="s">
        <v>259</v>
      </c>
      <c r="Q1" s="71" t="s">
        <v>259</v>
      </c>
      <c r="R1" s="71" t="s">
        <v>259</v>
      </c>
      <c r="S1" s="71" t="s">
        <v>260</v>
      </c>
      <c r="T1" s="71" t="s">
        <v>260</v>
      </c>
      <c r="U1" s="72" t="s">
        <v>261</v>
      </c>
      <c r="V1" s="72" t="s">
        <v>261</v>
      </c>
      <c r="W1" s="71" t="s">
        <v>261</v>
      </c>
      <c r="X1" s="72" t="s">
        <v>261</v>
      </c>
      <c r="Y1" s="71" t="s">
        <v>261</v>
      </c>
      <c r="Z1" s="72" t="s">
        <v>261</v>
      </c>
      <c r="AA1" s="71" t="s">
        <v>261</v>
      </c>
      <c r="AB1" s="72" t="s">
        <v>261</v>
      </c>
      <c r="AC1" s="71" t="s">
        <v>261</v>
      </c>
      <c r="AD1" s="72" t="s">
        <v>261</v>
      </c>
      <c r="AE1" s="71" t="s">
        <v>261</v>
      </c>
      <c r="AF1" s="72" t="s">
        <v>261</v>
      </c>
      <c r="AG1" s="72" t="s">
        <v>261</v>
      </c>
      <c r="AH1" s="71" t="s">
        <v>261</v>
      </c>
      <c r="AI1" s="72" t="s">
        <v>261</v>
      </c>
      <c r="AJ1" s="71" t="s">
        <v>261</v>
      </c>
      <c r="AK1" s="72" t="s">
        <v>261</v>
      </c>
      <c r="AL1" s="71" t="s">
        <v>261</v>
      </c>
      <c r="AM1" s="72" t="s">
        <v>261</v>
      </c>
      <c r="AN1" s="71" t="s">
        <v>261</v>
      </c>
      <c r="AO1" s="72" t="s">
        <v>261</v>
      </c>
      <c r="AP1" s="71" t="s">
        <v>261</v>
      </c>
      <c r="AQ1" s="72" t="s">
        <v>261</v>
      </c>
      <c r="AR1" s="72" t="s">
        <v>261</v>
      </c>
      <c r="AS1" s="71" t="s">
        <v>261</v>
      </c>
      <c r="AT1" s="72" t="s">
        <v>261</v>
      </c>
      <c r="AU1" s="71" t="s">
        <v>261</v>
      </c>
      <c r="AV1" s="72" t="s">
        <v>261</v>
      </c>
      <c r="AW1" s="71" t="s">
        <v>261</v>
      </c>
      <c r="AX1" s="72" t="s">
        <v>261</v>
      </c>
      <c r="AY1" s="71" t="s">
        <v>261</v>
      </c>
      <c r="AZ1" s="72" t="s">
        <v>261</v>
      </c>
      <c r="BA1" s="71" t="s">
        <v>261</v>
      </c>
      <c r="BB1" s="73" t="s">
        <v>277</v>
      </c>
      <c r="BC1" s="74" t="s">
        <v>277</v>
      </c>
      <c r="BD1" s="74" t="s">
        <v>277</v>
      </c>
      <c r="BE1" s="73" t="s">
        <v>277</v>
      </c>
      <c r="BF1" s="74" t="s">
        <v>277</v>
      </c>
      <c r="BG1" s="74" t="s">
        <v>277</v>
      </c>
      <c r="BH1" s="73" t="s">
        <v>277</v>
      </c>
      <c r="BI1" s="73" t="s">
        <v>277</v>
      </c>
      <c r="BJ1" s="74" t="s">
        <v>277</v>
      </c>
      <c r="BK1" s="72" t="s">
        <v>281</v>
      </c>
      <c r="BL1" s="72" t="s">
        <v>281</v>
      </c>
      <c r="BM1" s="71" t="s">
        <v>281</v>
      </c>
      <c r="BN1" s="72" t="s">
        <v>281</v>
      </c>
      <c r="BO1" s="72" t="s">
        <v>281</v>
      </c>
      <c r="BP1" s="71" t="s">
        <v>281</v>
      </c>
      <c r="BQ1" s="72" t="s">
        <v>281</v>
      </c>
      <c r="BR1" s="72" t="s">
        <v>281</v>
      </c>
      <c r="BS1" s="71" t="s">
        <v>281</v>
      </c>
      <c r="BT1" s="75" t="s">
        <v>310</v>
      </c>
      <c r="BU1" s="75" t="s">
        <v>310</v>
      </c>
      <c r="BV1" s="75" t="s">
        <v>310</v>
      </c>
      <c r="BW1" s="75" t="s">
        <v>310</v>
      </c>
      <c r="BX1" s="75" t="s">
        <v>310</v>
      </c>
      <c r="BY1" s="75" t="s">
        <v>310</v>
      </c>
      <c r="BZ1" s="75" t="s">
        <v>310</v>
      </c>
      <c r="CA1" s="75" t="s">
        <v>310</v>
      </c>
      <c r="CB1" s="75" t="s">
        <v>310</v>
      </c>
      <c r="CC1" s="75" t="s">
        <v>310</v>
      </c>
      <c r="CD1" s="75" t="s">
        <v>310</v>
      </c>
      <c r="CE1" s="75" t="s">
        <v>310</v>
      </c>
      <c r="CF1" s="75" t="s">
        <v>310</v>
      </c>
      <c r="CG1" s="75" t="s">
        <v>310</v>
      </c>
      <c r="CH1" s="75" t="s">
        <v>310</v>
      </c>
      <c r="CI1" s="75" t="s">
        <v>310</v>
      </c>
      <c r="CJ1" s="75" t="s">
        <v>310</v>
      </c>
      <c r="CK1" s="75" t="s">
        <v>310</v>
      </c>
      <c r="CL1" s="75" t="s">
        <v>310</v>
      </c>
      <c r="CM1" s="75" t="s">
        <v>310</v>
      </c>
      <c r="CN1" s="75" t="s">
        <v>310</v>
      </c>
      <c r="CO1" s="75" t="s">
        <v>310</v>
      </c>
      <c r="CP1" s="75" t="s">
        <v>310</v>
      </c>
      <c r="CQ1" s="75" t="s">
        <v>310</v>
      </c>
      <c r="CR1" s="76" t="s">
        <v>257</v>
      </c>
      <c r="CS1" s="76" t="s">
        <v>257</v>
      </c>
      <c r="CT1" s="77" t="s">
        <v>257</v>
      </c>
      <c r="CU1" s="77" t="s">
        <v>257</v>
      </c>
      <c r="CV1" s="75" t="s">
        <v>310</v>
      </c>
      <c r="CW1" s="75" t="s">
        <v>310</v>
      </c>
      <c r="CX1" s="75" t="s">
        <v>310</v>
      </c>
      <c r="CY1" s="75" t="s">
        <v>310</v>
      </c>
      <c r="CZ1" s="75" t="s">
        <v>310</v>
      </c>
      <c r="DA1" s="75" t="s">
        <v>310</v>
      </c>
      <c r="DB1" s="75" t="s">
        <v>310</v>
      </c>
      <c r="DC1" s="75" t="s">
        <v>310</v>
      </c>
      <c r="DD1" s="72" t="s">
        <v>286</v>
      </c>
      <c r="DE1" s="72" t="s">
        <v>286</v>
      </c>
      <c r="DF1" s="72" t="s">
        <v>286</v>
      </c>
      <c r="DG1" s="72" t="s">
        <v>286</v>
      </c>
      <c r="DH1" s="72" t="s">
        <v>286</v>
      </c>
      <c r="DI1" s="71" t="s">
        <v>286</v>
      </c>
      <c r="DJ1" s="71" t="s">
        <v>286</v>
      </c>
      <c r="DK1" s="71" t="s">
        <v>286</v>
      </c>
      <c r="DL1" s="72" t="s">
        <v>286</v>
      </c>
      <c r="DM1" s="72" t="s">
        <v>286</v>
      </c>
      <c r="DN1" s="72" t="s">
        <v>286</v>
      </c>
      <c r="DO1" s="72" t="s">
        <v>286</v>
      </c>
      <c r="DP1" s="72" t="s">
        <v>286</v>
      </c>
      <c r="DQ1" s="71" t="s">
        <v>286</v>
      </c>
      <c r="DR1" s="71" t="s">
        <v>286</v>
      </c>
      <c r="DS1" s="71" t="s">
        <v>286</v>
      </c>
      <c r="DT1" s="72" t="s">
        <v>286</v>
      </c>
      <c r="DU1" s="72" t="s">
        <v>286</v>
      </c>
      <c r="DV1" s="72" t="s">
        <v>286</v>
      </c>
      <c r="DW1" s="72" t="s">
        <v>286</v>
      </c>
      <c r="DX1" s="72" t="s">
        <v>286</v>
      </c>
      <c r="DY1" s="71" t="s">
        <v>286</v>
      </c>
      <c r="DZ1" s="71" t="s">
        <v>286</v>
      </c>
      <c r="EA1" s="71" t="s">
        <v>286</v>
      </c>
      <c r="EB1" s="72" t="s">
        <v>289</v>
      </c>
      <c r="EC1" s="71" t="s">
        <v>289</v>
      </c>
      <c r="ED1" s="71" t="s">
        <v>289</v>
      </c>
      <c r="EE1" s="72" t="s">
        <v>289</v>
      </c>
      <c r="EF1" s="71" t="s">
        <v>289</v>
      </c>
      <c r="EG1" s="72" t="s">
        <v>289</v>
      </c>
      <c r="EH1" s="71" t="s">
        <v>289</v>
      </c>
      <c r="EI1" s="72" t="s">
        <v>289</v>
      </c>
      <c r="EJ1" s="71" t="s">
        <v>289</v>
      </c>
      <c r="EK1" s="72" t="s">
        <v>289</v>
      </c>
      <c r="EL1" s="71" t="s">
        <v>289</v>
      </c>
      <c r="EM1" s="72" t="s">
        <v>289</v>
      </c>
      <c r="EN1" s="71" t="s">
        <v>289</v>
      </c>
      <c r="EO1" s="71" t="s">
        <v>290</v>
      </c>
      <c r="EP1" s="71" t="s">
        <v>290</v>
      </c>
      <c r="EQ1" s="71" t="s">
        <v>290</v>
      </c>
      <c r="ER1" s="71" t="s">
        <v>290</v>
      </c>
      <c r="ES1" s="71" t="s">
        <v>290</v>
      </c>
      <c r="ET1" s="72" t="s">
        <v>291</v>
      </c>
      <c r="EU1" s="72" t="s">
        <v>291</v>
      </c>
      <c r="EV1" s="71" t="s">
        <v>291</v>
      </c>
      <c r="EW1" s="72" t="s">
        <v>291</v>
      </c>
      <c r="EX1" s="72" t="s">
        <v>291</v>
      </c>
      <c r="EY1" s="71" t="s">
        <v>291</v>
      </c>
      <c r="EZ1" s="72" t="s">
        <v>291</v>
      </c>
      <c r="FA1" s="72" t="s">
        <v>291</v>
      </c>
      <c r="FB1" s="71" t="s">
        <v>291</v>
      </c>
      <c r="FC1" s="72" t="s">
        <v>292</v>
      </c>
      <c r="FD1" s="72" t="s">
        <v>292</v>
      </c>
      <c r="FE1" s="72" t="s">
        <v>292</v>
      </c>
      <c r="FF1" s="72" t="s">
        <v>292</v>
      </c>
      <c r="FG1" s="72" t="s">
        <v>292</v>
      </c>
      <c r="FH1" s="72" t="s">
        <v>292</v>
      </c>
      <c r="FI1" s="72" t="s">
        <v>292</v>
      </c>
      <c r="FJ1" s="72" t="s">
        <v>292</v>
      </c>
      <c r="FK1" s="72" t="s">
        <v>292</v>
      </c>
      <c r="FL1" s="72" t="s">
        <v>292</v>
      </c>
      <c r="FM1" s="72" t="s">
        <v>292</v>
      </c>
      <c r="FN1" s="72" t="s">
        <v>293</v>
      </c>
      <c r="FO1" s="78" t="s">
        <v>293</v>
      </c>
      <c r="FP1" s="72" t="s">
        <v>293</v>
      </c>
      <c r="FQ1" s="78" t="s">
        <v>293</v>
      </c>
      <c r="FR1" s="72" t="s">
        <v>293</v>
      </c>
      <c r="FS1" s="78" t="s">
        <v>293</v>
      </c>
      <c r="FT1" s="71" t="s">
        <v>293</v>
      </c>
      <c r="FU1" s="78" t="s">
        <v>293</v>
      </c>
      <c r="FV1" s="72" t="s">
        <v>293</v>
      </c>
      <c r="FW1" s="78" t="s">
        <v>293</v>
      </c>
      <c r="FX1" s="72" t="s">
        <v>293</v>
      </c>
      <c r="FY1" s="78" t="s">
        <v>293</v>
      </c>
      <c r="FZ1" s="72" t="s">
        <v>293</v>
      </c>
      <c r="GA1" s="78" t="s">
        <v>293</v>
      </c>
      <c r="GB1" s="72" t="s">
        <v>293</v>
      </c>
      <c r="GC1" s="78" t="s">
        <v>293</v>
      </c>
      <c r="GD1" s="72" t="s">
        <v>293</v>
      </c>
      <c r="GE1" s="78" t="s">
        <v>293</v>
      </c>
      <c r="GF1" s="72" t="s">
        <v>293</v>
      </c>
      <c r="GG1" s="78" t="s">
        <v>293</v>
      </c>
      <c r="GH1" s="72" t="s">
        <v>305</v>
      </c>
      <c r="GI1" s="72" t="s">
        <v>305</v>
      </c>
      <c r="GJ1" s="71" t="s">
        <v>305</v>
      </c>
      <c r="GK1" s="72" t="s">
        <v>305</v>
      </c>
      <c r="GL1" s="71" t="s">
        <v>305</v>
      </c>
      <c r="GM1" s="72" t="s">
        <v>305</v>
      </c>
      <c r="GN1" s="71" t="s">
        <v>305</v>
      </c>
      <c r="GO1" s="72" t="s">
        <v>322</v>
      </c>
      <c r="GP1" s="72" t="s">
        <v>322</v>
      </c>
      <c r="GQ1" s="72" t="s">
        <v>322</v>
      </c>
      <c r="GR1" s="72" t="s">
        <v>322</v>
      </c>
      <c r="GS1" s="72" t="s">
        <v>322</v>
      </c>
      <c r="GT1" s="72" t="s">
        <v>322</v>
      </c>
    </row>
    <row r="2" spans="1:202" s="79" customFormat="1" ht="36" x14ac:dyDescent="0.2">
      <c r="B2" s="80" t="s">
        <v>176</v>
      </c>
      <c r="C2" s="80" t="s">
        <v>176</v>
      </c>
      <c r="D2" s="80" t="s">
        <v>176</v>
      </c>
      <c r="E2" s="80" t="s">
        <v>176</v>
      </c>
      <c r="F2" s="80" t="s">
        <v>176</v>
      </c>
      <c r="G2" s="80" t="s">
        <v>176</v>
      </c>
      <c r="H2" s="80" t="s">
        <v>176</v>
      </c>
      <c r="I2" s="80" t="s">
        <v>176</v>
      </c>
      <c r="J2" s="80" t="s">
        <v>176</v>
      </c>
      <c r="K2" s="80" t="s">
        <v>176</v>
      </c>
      <c r="L2" s="80" t="s">
        <v>176</v>
      </c>
      <c r="M2" s="80" t="s">
        <v>176</v>
      </c>
      <c r="N2" s="80" t="s">
        <v>176</v>
      </c>
      <c r="O2" s="81" t="s">
        <v>250</v>
      </c>
      <c r="P2" s="81" t="s">
        <v>162</v>
      </c>
      <c r="Q2" s="81" t="s">
        <v>162</v>
      </c>
      <c r="R2" s="81" t="s">
        <v>162</v>
      </c>
      <c r="S2" s="81" t="s">
        <v>162</v>
      </c>
      <c r="T2" s="81" t="s">
        <v>162</v>
      </c>
      <c r="U2" s="82" t="s">
        <v>156</v>
      </c>
      <c r="V2" s="82" t="s">
        <v>156</v>
      </c>
      <c r="W2" s="81" t="s">
        <v>156</v>
      </c>
      <c r="X2" s="82" t="s">
        <v>156</v>
      </c>
      <c r="Y2" s="81" t="s">
        <v>156</v>
      </c>
      <c r="Z2" s="82" t="s">
        <v>156</v>
      </c>
      <c r="AA2" s="81" t="s">
        <v>156</v>
      </c>
      <c r="AB2" s="82" t="s">
        <v>156</v>
      </c>
      <c r="AC2" s="81" t="s">
        <v>156</v>
      </c>
      <c r="AD2" s="82" t="s">
        <v>156</v>
      </c>
      <c r="AE2" s="81" t="s">
        <v>156</v>
      </c>
      <c r="AF2" s="82" t="s">
        <v>156</v>
      </c>
      <c r="AG2" s="82" t="s">
        <v>156</v>
      </c>
      <c r="AH2" s="81" t="s">
        <v>156</v>
      </c>
      <c r="AI2" s="82" t="s">
        <v>156</v>
      </c>
      <c r="AJ2" s="81" t="s">
        <v>156</v>
      </c>
      <c r="AK2" s="82" t="s">
        <v>156</v>
      </c>
      <c r="AL2" s="81" t="s">
        <v>156</v>
      </c>
      <c r="AM2" s="82" t="s">
        <v>156</v>
      </c>
      <c r="AN2" s="81" t="s">
        <v>156</v>
      </c>
      <c r="AO2" s="82" t="s">
        <v>156</v>
      </c>
      <c r="AP2" s="81" t="s">
        <v>156</v>
      </c>
      <c r="AQ2" s="82" t="s">
        <v>156</v>
      </c>
      <c r="AR2" s="82" t="s">
        <v>156</v>
      </c>
      <c r="AS2" s="81" t="s">
        <v>156</v>
      </c>
      <c r="AT2" s="82" t="s">
        <v>156</v>
      </c>
      <c r="AU2" s="81" t="s">
        <v>156</v>
      </c>
      <c r="AV2" s="82" t="s">
        <v>156</v>
      </c>
      <c r="AW2" s="81" t="s">
        <v>156</v>
      </c>
      <c r="AX2" s="82" t="s">
        <v>156</v>
      </c>
      <c r="AY2" s="81" t="s">
        <v>156</v>
      </c>
      <c r="AZ2" s="82" t="s">
        <v>156</v>
      </c>
      <c r="BA2" s="81" t="s">
        <v>156</v>
      </c>
      <c r="BB2" s="83" t="s">
        <v>138</v>
      </c>
      <c r="BC2" s="84" t="s">
        <v>138</v>
      </c>
      <c r="BD2" s="84" t="s">
        <v>138</v>
      </c>
      <c r="BE2" s="83" t="s">
        <v>138</v>
      </c>
      <c r="BF2" s="84" t="s">
        <v>138</v>
      </c>
      <c r="BG2" s="84" t="s">
        <v>138</v>
      </c>
      <c r="BH2" s="83" t="s">
        <v>138</v>
      </c>
      <c r="BI2" s="83" t="s">
        <v>138</v>
      </c>
      <c r="BJ2" s="84" t="s">
        <v>138</v>
      </c>
      <c r="BK2" s="82" t="s">
        <v>251</v>
      </c>
      <c r="BL2" s="82" t="s">
        <v>251</v>
      </c>
      <c r="BM2" s="81" t="s">
        <v>251</v>
      </c>
      <c r="BN2" s="82" t="s">
        <v>251</v>
      </c>
      <c r="BO2" s="82" t="s">
        <v>251</v>
      </c>
      <c r="BP2" s="81" t="s">
        <v>251</v>
      </c>
      <c r="BQ2" s="82" t="s">
        <v>251</v>
      </c>
      <c r="BR2" s="82" t="s">
        <v>251</v>
      </c>
      <c r="BS2" s="81" t="s">
        <v>251</v>
      </c>
      <c r="BT2" s="85" t="s">
        <v>252</v>
      </c>
      <c r="BU2" s="85" t="s">
        <v>252</v>
      </c>
      <c r="BV2" s="86" t="s">
        <v>252</v>
      </c>
      <c r="BW2" s="86" t="s">
        <v>252</v>
      </c>
      <c r="BX2" s="85" t="s">
        <v>252</v>
      </c>
      <c r="BY2" s="85" t="s">
        <v>252</v>
      </c>
      <c r="BZ2" s="86" t="s">
        <v>252</v>
      </c>
      <c r="CA2" s="86" t="s">
        <v>252</v>
      </c>
      <c r="CB2" s="85" t="s">
        <v>252</v>
      </c>
      <c r="CC2" s="85" t="s">
        <v>252</v>
      </c>
      <c r="CD2" s="86" t="s">
        <v>252</v>
      </c>
      <c r="CE2" s="86" t="s">
        <v>252</v>
      </c>
      <c r="CF2" s="85" t="s">
        <v>252</v>
      </c>
      <c r="CG2" s="85" t="s">
        <v>252</v>
      </c>
      <c r="CH2" s="86" t="s">
        <v>252</v>
      </c>
      <c r="CI2" s="86" t="s">
        <v>252</v>
      </c>
      <c r="CJ2" s="85" t="s">
        <v>252</v>
      </c>
      <c r="CK2" s="85" t="s">
        <v>252</v>
      </c>
      <c r="CL2" s="86" t="s">
        <v>252</v>
      </c>
      <c r="CM2" s="86" t="s">
        <v>252</v>
      </c>
      <c r="CN2" s="85" t="s">
        <v>252</v>
      </c>
      <c r="CO2" s="85" t="s">
        <v>252</v>
      </c>
      <c r="CP2" s="86" t="s">
        <v>252</v>
      </c>
      <c r="CQ2" s="86" t="s">
        <v>252</v>
      </c>
      <c r="CR2" s="87" t="s">
        <v>252</v>
      </c>
      <c r="CS2" s="87" t="s">
        <v>252</v>
      </c>
      <c r="CT2" s="88" t="s">
        <v>252</v>
      </c>
      <c r="CU2" s="88" t="s">
        <v>252</v>
      </c>
      <c r="CV2" s="85" t="s">
        <v>252</v>
      </c>
      <c r="CW2" s="85" t="s">
        <v>252</v>
      </c>
      <c r="CX2" s="86" t="s">
        <v>252</v>
      </c>
      <c r="CY2" s="86" t="s">
        <v>252</v>
      </c>
      <c r="CZ2" s="85" t="s">
        <v>252</v>
      </c>
      <c r="DA2" s="85" t="s">
        <v>252</v>
      </c>
      <c r="DB2" s="86" t="s">
        <v>252</v>
      </c>
      <c r="DC2" s="86" t="s">
        <v>252</v>
      </c>
      <c r="DD2" s="82" t="s">
        <v>253</v>
      </c>
      <c r="DE2" s="82" t="s">
        <v>253</v>
      </c>
      <c r="DF2" s="82" t="s">
        <v>253</v>
      </c>
      <c r="DG2" s="82" t="s">
        <v>253</v>
      </c>
      <c r="DH2" s="82" t="s">
        <v>253</v>
      </c>
      <c r="DI2" s="81" t="s">
        <v>253</v>
      </c>
      <c r="DJ2" s="81" t="s">
        <v>253</v>
      </c>
      <c r="DK2" s="81" t="s">
        <v>253</v>
      </c>
      <c r="DL2" s="82" t="s">
        <v>253</v>
      </c>
      <c r="DM2" s="82" t="s">
        <v>253</v>
      </c>
      <c r="DN2" s="82" t="s">
        <v>253</v>
      </c>
      <c r="DO2" s="82" t="s">
        <v>253</v>
      </c>
      <c r="DP2" s="82" t="s">
        <v>253</v>
      </c>
      <c r="DQ2" s="81" t="s">
        <v>253</v>
      </c>
      <c r="DR2" s="81" t="s">
        <v>253</v>
      </c>
      <c r="DS2" s="81" t="s">
        <v>253</v>
      </c>
      <c r="DT2" s="82" t="s">
        <v>253</v>
      </c>
      <c r="DU2" s="82" t="s">
        <v>253</v>
      </c>
      <c r="DV2" s="82" t="s">
        <v>253</v>
      </c>
      <c r="DW2" s="82" t="s">
        <v>253</v>
      </c>
      <c r="DX2" s="82" t="s">
        <v>253</v>
      </c>
      <c r="DY2" s="81" t="s">
        <v>253</v>
      </c>
      <c r="DZ2" s="81" t="s">
        <v>253</v>
      </c>
      <c r="EA2" s="81" t="s">
        <v>253</v>
      </c>
      <c r="EB2" s="82" t="s">
        <v>69</v>
      </c>
      <c r="EC2" s="81" t="s">
        <v>69</v>
      </c>
      <c r="ED2" s="81" t="s">
        <v>69</v>
      </c>
      <c r="EE2" s="82" t="s">
        <v>69</v>
      </c>
      <c r="EF2" s="81" t="s">
        <v>69</v>
      </c>
      <c r="EG2" s="82" t="s">
        <v>69</v>
      </c>
      <c r="EH2" s="81" t="s">
        <v>69</v>
      </c>
      <c r="EI2" s="82" t="s">
        <v>69</v>
      </c>
      <c r="EJ2" s="81" t="s">
        <v>69</v>
      </c>
      <c r="EK2" s="82" t="s">
        <v>69</v>
      </c>
      <c r="EL2" s="81" t="s">
        <v>69</v>
      </c>
      <c r="EM2" s="82" t="s">
        <v>69</v>
      </c>
      <c r="EN2" s="81" t="s">
        <v>69</v>
      </c>
      <c r="EO2" s="81" t="s">
        <v>55</v>
      </c>
      <c r="EP2" s="81" t="s">
        <v>55</v>
      </c>
      <c r="EQ2" s="81" t="s">
        <v>55</v>
      </c>
      <c r="ER2" s="81" t="s">
        <v>55</v>
      </c>
      <c r="ES2" s="81" t="s">
        <v>55</v>
      </c>
      <c r="ET2" s="82" t="s">
        <v>254</v>
      </c>
      <c r="EU2" s="82" t="s">
        <v>254</v>
      </c>
      <c r="EV2" s="81" t="s">
        <v>254</v>
      </c>
      <c r="EW2" s="82" t="s">
        <v>254</v>
      </c>
      <c r="EX2" s="82" t="s">
        <v>254</v>
      </c>
      <c r="EY2" s="81" t="s">
        <v>254</v>
      </c>
      <c r="EZ2" s="82" t="s">
        <v>254</v>
      </c>
      <c r="FA2" s="82" t="s">
        <v>254</v>
      </c>
      <c r="FB2" s="81" t="s">
        <v>254</v>
      </c>
      <c r="FC2" s="82" t="s">
        <v>255</v>
      </c>
      <c r="FD2" s="82" t="s">
        <v>255</v>
      </c>
      <c r="FE2" s="81" t="s">
        <v>255</v>
      </c>
      <c r="FF2" s="82" t="s">
        <v>255</v>
      </c>
      <c r="FG2" s="81" t="s">
        <v>255</v>
      </c>
      <c r="FH2" s="82" t="s">
        <v>255</v>
      </c>
      <c r="FI2" s="81" t="s">
        <v>255</v>
      </c>
      <c r="FJ2" s="82" t="s">
        <v>255</v>
      </c>
      <c r="FK2" s="81" t="s">
        <v>255</v>
      </c>
      <c r="FL2" s="82" t="s">
        <v>255</v>
      </c>
      <c r="FM2" s="81" t="s">
        <v>255</v>
      </c>
      <c r="FN2" s="82" t="s">
        <v>256</v>
      </c>
      <c r="FO2" s="89" t="s">
        <v>256</v>
      </c>
      <c r="FP2" s="82" t="s">
        <v>256</v>
      </c>
      <c r="FQ2" s="89" t="s">
        <v>256</v>
      </c>
      <c r="FR2" s="82" t="s">
        <v>256</v>
      </c>
      <c r="FS2" s="89" t="s">
        <v>256</v>
      </c>
      <c r="FT2" s="81" t="s">
        <v>256</v>
      </c>
      <c r="FU2" s="89" t="s">
        <v>256</v>
      </c>
      <c r="FV2" s="82" t="s">
        <v>256</v>
      </c>
      <c r="FW2" s="89" t="s">
        <v>256</v>
      </c>
      <c r="FX2" s="82" t="s">
        <v>256</v>
      </c>
      <c r="FY2" s="89" t="s">
        <v>256</v>
      </c>
      <c r="FZ2" s="82" t="s">
        <v>256</v>
      </c>
      <c r="GA2" s="89" t="s">
        <v>256</v>
      </c>
      <c r="GB2" s="82" t="s">
        <v>256</v>
      </c>
      <c r="GC2" s="89" t="s">
        <v>256</v>
      </c>
      <c r="GD2" s="82" t="s">
        <v>256</v>
      </c>
      <c r="GE2" s="89" t="s">
        <v>256</v>
      </c>
      <c r="GF2" s="82" t="s">
        <v>256</v>
      </c>
      <c r="GG2" s="89" t="s">
        <v>256</v>
      </c>
      <c r="GH2" s="82" t="s">
        <v>304</v>
      </c>
      <c r="GI2" s="82" t="s">
        <v>304</v>
      </c>
      <c r="GJ2" s="81" t="s">
        <v>304</v>
      </c>
      <c r="GK2" s="82" t="s">
        <v>304</v>
      </c>
      <c r="GL2" s="81" t="s">
        <v>304</v>
      </c>
      <c r="GM2" s="82" t="s">
        <v>304</v>
      </c>
      <c r="GN2" s="81" t="s">
        <v>304</v>
      </c>
      <c r="GO2" s="82" t="s">
        <v>304</v>
      </c>
      <c r="GP2" s="81" t="s">
        <v>304</v>
      </c>
      <c r="GQ2" s="82" t="s">
        <v>304</v>
      </c>
      <c r="GR2" s="81" t="s">
        <v>304</v>
      </c>
      <c r="GS2" s="82" t="s">
        <v>304</v>
      </c>
      <c r="GT2" s="81" t="s">
        <v>304</v>
      </c>
    </row>
    <row r="3" spans="1:202" s="90" customFormat="1" ht="120" x14ac:dyDescent="0.25">
      <c r="B3" s="91" t="s">
        <v>175</v>
      </c>
      <c r="C3" s="91" t="s">
        <v>174</v>
      </c>
      <c r="D3" s="91" t="s">
        <v>173</v>
      </c>
      <c r="E3" s="91" t="s">
        <v>172</v>
      </c>
      <c r="F3" s="91" t="s">
        <v>171</v>
      </c>
      <c r="G3" s="91" t="s">
        <v>170</v>
      </c>
      <c r="H3" s="91" t="s">
        <v>169</v>
      </c>
      <c r="I3" s="91" t="s">
        <v>168</v>
      </c>
      <c r="J3" s="91" t="s">
        <v>167</v>
      </c>
      <c r="K3" s="91" t="s">
        <v>49</v>
      </c>
      <c r="L3" s="91" t="s">
        <v>166</v>
      </c>
      <c r="M3" s="91" t="s">
        <v>46</v>
      </c>
      <c r="N3" s="91" t="s">
        <v>165</v>
      </c>
      <c r="O3" s="91" t="s">
        <v>163</v>
      </c>
      <c r="P3" s="91" t="s">
        <v>161</v>
      </c>
      <c r="Q3" s="91" t="s">
        <v>160</v>
      </c>
      <c r="R3" s="91" t="s">
        <v>159</v>
      </c>
      <c r="S3" s="91" t="s">
        <v>158</v>
      </c>
      <c r="T3" s="91" t="s">
        <v>157</v>
      </c>
      <c r="U3" s="92" t="s">
        <v>155</v>
      </c>
      <c r="V3" s="92" t="s">
        <v>154</v>
      </c>
      <c r="W3" s="91" t="s">
        <v>262</v>
      </c>
      <c r="X3" s="92" t="s">
        <v>153</v>
      </c>
      <c r="Y3" s="91" t="s">
        <v>263</v>
      </c>
      <c r="Z3" s="92" t="s">
        <v>152</v>
      </c>
      <c r="AA3" s="91" t="s">
        <v>264</v>
      </c>
      <c r="AB3" s="92" t="s">
        <v>151</v>
      </c>
      <c r="AC3" s="91" t="s">
        <v>265</v>
      </c>
      <c r="AD3" s="92" t="s">
        <v>150</v>
      </c>
      <c r="AE3" s="91" t="s">
        <v>266</v>
      </c>
      <c r="AF3" s="92" t="s">
        <v>149</v>
      </c>
      <c r="AG3" s="92" t="s">
        <v>148</v>
      </c>
      <c r="AH3" s="91" t="s">
        <v>267</v>
      </c>
      <c r="AI3" s="92" t="s">
        <v>147</v>
      </c>
      <c r="AJ3" s="91" t="s">
        <v>268</v>
      </c>
      <c r="AK3" s="92" t="s">
        <v>146</v>
      </c>
      <c r="AL3" s="91" t="s">
        <v>269</v>
      </c>
      <c r="AM3" s="92" t="s">
        <v>145</v>
      </c>
      <c r="AN3" s="91" t="s">
        <v>270</v>
      </c>
      <c r="AO3" s="92" t="s">
        <v>144</v>
      </c>
      <c r="AP3" s="91" t="s">
        <v>271</v>
      </c>
      <c r="AQ3" s="92" t="s">
        <v>133</v>
      </c>
      <c r="AR3" s="92" t="s">
        <v>143</v>
      </c>
      <c r="AS3" s="91" t="s">
        <v>272</v>
      </c>
      <c r="AT3" s="92" t="s">
        <v>142</v>
      </c>
      <c r="AU3" s="91" t="s">
        <v>273</v>
      </c>
      <c r="AV3" s="92" t="s">
        <v>141</v>
      </c>
      <c r="AW3" s="91" t="s">
        <v>274</v>
      </c>
      <c r="AX3" s="92" t="s">
        <v>140</v>
      </c>
      <c r="AY3" s="91" t="s">
        <v>275</v>
      </c>
      <c r="AZ3" s="92" t="s">
        <v>139</v>
      </c>
      <c r="BA3" s="91" t="s">
        <v>276</v>
      </c>
      <c r="BB3" s="93" t="s">
        <v>325</v>
      </c>
      <c r="BC3" s="94" t="s">
        <v>137</v>
      </c>
      <c r="BD3" s="94" t="s">
        <v>136</v>
      </c>
      <c r="BE3" s="93" t="s">
        <v>326</v>
      </c>
      <c r="BF3" s="94" t="s">
        <v>135</v>
      </c>
      <c r="BG3" s="94" t="s">
        <v>134</v>
      </c>
      <c r="BH3" s="93" t="s">
        <v>327</v>
      </c>
      <c r="BI3" s="93" t="s">
        <v>132</v>
      </c>
      <c r="BJ3" s="94" t="s">
        <v>131</v>
      </c>
      <c r="BK3" s="92" t="s">
        <v>130</v>
      </c>
      <c r="BL3" s="92" t="s">
        <v>129</v>
      </c>
      <c r="BM3" s="91" t="s">
        <v>278</v>
      </c>
      <c r="BN3" s="92" t="s">
        <v>49</v>
      </c>
      <c r="BO3" s="92" t="s">
        <v>128</v>
      </c>
      <c r="BP3" s="91" t="s">
        <v>279</v>
      </c>
      <c r="BQ3" s="92" t="s">
        <v>127</v>
      </c>
      <c r="BR3" s="92" t="s">
        <v>126</v>
      </c>
      <c r="BS3" s="91" t="s">
        <v>280</v>
      </c>
      <c r="BT3" s="95" t="s">
        <v>125</v>
      </c>
      <c r="BU3" s="95" t="s">
        <v>124</v>
      </c>
      <c r="BV3" s="96" t="s">
        <v>123</v>
      </c>
      <c r="BW3" s="96" t="s">
        <v>122</v>
      </c>
      <c r="BX3" s="95" t="s">
        <v>121</v>
      </c>
      <c r="BY3" s="95" t="s">
        <v>120</v>
      </c>
      <c r="BZ3" s="96" t="s">
        <v>119</v>
      </c>
      <c r="CA3" s="96" t="s">
        <v>118</v>
      </c>
      <c r="CB3" s="95" t="s">
        <v>117</v>
      </c>
      <c r="CC3" s="95" t="s">
        <v>116</v>
      </c>
      <c r="CD3" s="96" t="s">
        <v>115</v>
      </c>
      <c r="CE3" s="96" t="s">
        <v>114</v>
      </c>
      <c r="CF3" s="95" t="s">
        <v>113</v>
      </c>
      <c r="CG3" s="95" t="s">
        <v>112</v>
      </c>
      <c r="CH3" s="96" t="s">
        <v>111</v>
      </c>
      <c r="CI3" s="96" t="s">
        <v>110</v>
      </c>
      <c r="CJ3" s="95" t="s">
        <v>109</v>
      </c>
      <c r="CK3" s="95" t="s">
        <v>108</v>
      </c>
      <c r="CL3" s="96" t="s">
        <v>107</v>
      </c>
      <c r="CM3" s="96" t="s">
        <v>106</v>
      </c>
      <c r="CN3" s="95" t="s">
        <v>105</v>
      </c>
      <c r="CO3" s="95" t="s">
        <v>104</v>
      </c>
      <c r="CP3" s="96" t="s">
        <v>103</v>
      </c>
      <c r="CQ3" s="96" t="s">
        <v>102</v>
      </c>
      <c r="CR3" s="97" t="s">
        <v>282</v>
      </c>
      <c r="CS3" s="97" t="s">
        <v>283</v>
      </c>
      <c r="CT3" s="98" t="s">
        <v>284</v>
      </c>
      <c r="CU3" s="98" t="s">
        <v>285</v>
      </c>
      <c r="CV3" s="95" t="s">
        <v>101</v>
      </c>
      <c r="CW3" s="95" t="s">
        <v>100</v>
      </c>
      <c r="CX3" s="96" t="s">
        <v>99</v>
      </c>
      <c r="CY3" s="96" t="s">
        <v>98</v>
      </c>
      <c r="CZ3" s="95" t="s">
        <v>97</v>
      </c>
      <c r="DA3" s="95" t="s">
        <v>96</v>
      </c>
      <c r="DB3" s="96" t="s">
        <v>95</v>
      </c>
      <c r="DC3" s="96" t="s">
        <v>94</v>
      </c>
      <c r="DD3" s="92" t="s">
        <v>93</v>
      </c>
      <c r="DE3" s="92" t="s">
        <v>92</v>
      </c>
      <c r="DF3" s="92" t="s">
        <v>91</v>
      </c>
      <c r="DG3" s="92" t="s">
        <v>90</v>
      </c>
      <c r="DH3" s="92" t="s">
        <v>89</v>
      </c>
      <c r="DI3" s="91" t="s">
        <v>88</v>
      </c>
      <c r="DJ3" s="91" t="s">
        <v>87</v>
      </c>
      <c r="DK3" s="91" t="s">
        <v>86</v>
      </c>
      <c r="DL3" s="92" t="s">
        <v>85</v>
      </c>
      <c r="DM3" s="92" t="s">
        <v>84</v>
      </c>
      <c r="DN3" s="92" t="s">
        <v>83</v>
      </c>
      <c r="DO3" s="92" t="s">
        <v>82</v>
      </c>
      <c r="DP3" s="92" t="s">
        <v>81</v>
      </c>
      <c r="DQ3" s="91" t="s">
        <v>80</v>
      </c>
      <c r="DR3" s="91" t="s">
        <v>79</v>
      </c>
      <c r="DS3" s="91" t="s">
        <v>78</v>
      </c>
      <c r="DT3" s="92" t="s">
        <v>77</v>
      </c>
      <c r="DU3" s="92" t="s">
        <v>76</v>
      </c>
      <c r="DV3" s="92" t="s">
        <v>75</v>
      </c>
      <c r="DW3" s="92" t="s">
        <v>74</v>
      </c>
      <c r="DX3" s="92" t="s">
        <v>73</v>
      </c>
      <c r="DY3" s="91" t="s">
        <v>72</v>
      </c>
      <c r="DZ3" s="91" t="s">
        <v>71</v>
      </c>
      <c r="EA3" s="91" t="s">
        <v>70</v>
      </c>
      <c r="EB3" s="92" t="s">
        <v>68</v>
      </c>
      <c r="EC3" s="91" t="s">
        <v>67</v>
      </c>
      <c r="ED3" s="91" t="s">
        <v>66</v>
      </c>
      <c r="EE3" s="92" t="s">
        <v>65</v>
      </c>
      <c r="EF3" s="91" t="s">
        <v>64</v>
      </c>
      <c r="EG3" s="92" t="s">
        <v>63</v>
      </c>
      <c r="EH3" s="91" t="s">
        <v>62</v>
      </c>
      <c r="EI3" s="92" t="s">
        <v>61</v>
      </c>
      <c r="EJ3" s="91" t="s">
        <v>60</v>
      </c>
      <c r="EK3" s="92" t="s">
        <v>59</v>
      </c>
      <c r="EL3" s="91" t="s">
        <v>58</v>
      </c>
      <c r="EM3" s="92" t="s">
        <v>57</v>
      </c>
      <c r="EN3" s="91" t="s">
        <v>56</v>
      </c>
      <c r="EO3" s="91" t="s">
        <v>54</v>
      </c>
      <c r="EP3" s="91" t="s">
        <v>53</v>
      </c>
      <c r="EQ3" s="91" t="s">
        <v>52</v>
      </c>
      <c r="ER3" s="91" t="s">
        <v>51</v>
      </c>
      <c r="ES3" s="91" t="s">
        <v>50</v>
      </c>
      <c r="ET3" s="92" t="s">
        <v>318</v>
      </c>
      <c r="EU3" s="92" t="s">
        <v>48</v>
      </c>
      <c r="EV3" s="91" t="s">
        <v>47</v>
      </c>
      <c r="EW3" s="92" t="s">
        <v>319</v>
      </c>
      <c r="EX3" s="92" t="s">
        <v>45</v>
      </c>
      <c r="EY3" s="91" t="s">
        <v>44</v>
      </c>
      <c r="EZ3" s="92" t="s">
        <v>320</v>
      </c>
      <c r="FA3" s="92" t="s">
        <v>42</v>
      </c>
      <c r="FB3" s="91" t="s">
        <v>41</v>
      </c>
      <c r="FC3" s="92" t="s">
        <v>40</v>
      </c>
      <c r="FD3" s="92" t="s">
        <v>39</v>
      </c>
      <c r="FE3" s="91" t="s">
        <v>38</v>
      </c>
      <c r="FF3" s="92" t="s">
        <v>37</v>
      </c>
      <c r="FG3" s="91" t="s">
        <v>36</v>
      </c>
      <c r="FH3" s="92" t="s">
        <v>35</v>
      </c>
      <c r="FI3" s="91" t="s">
        <v>34</v>
      </c>
      <c r="FJ3" s="92" t="s">
        <v>33</v>
      </c>
      <c r="FK3" s="91" t="s">
        <v>32</v>
      </c>
      <c r="FL3" s="92" t="s">
        <v>31</v>
      </c>
      <c r="FM3" s="91" t="s">
        <v>30</v>
      </c>
      <c r="FN3" s="92" t="s">
        <v>27</v>
      </c>
      <c r="FO3" s="99" t="s">
        <v>294</v>
      </c>
      <c r="FP3" s="92" t="s">
        <v>26</v>
      </c>
      <c r="FQ3" s="99" t="s">
        <v>295</v>
      </c>
      <c r="FR3" s="92" t="s">
        <v>25</v>
      </c>
      <c r="FS3" s="99" t="s">
        <v>299</v>
      </c>
      <c r="FT3" s="91" t="s">
        <v>24</v>
      </c>
      <c r="FU3" s="99" t="s">
        <v>296</v>
      </c>
      <c r="FV3" s="92" t="s">
        <v>22</v>
      </c>
      <c r="FW3" s="99" t="s">
        <v>297</v>
      </c>
      <c r="FX3" s="92" t="s">
        <v>21</v>
      </c>
      <c r="FY3" s="99" t="s">
        <v>298</v>
      </c>
      <c r="FZ3" s="92" t="s">
        <v>20</v>
      </c>
      <c r="GA3" s="99" t="s">
        <v>300</v>
      </c>
      <c r="GB3" s="92" t="s">
        <v>19</v>
      </c>
      <c r="GC3" s="99" t="s">
        <v>301</v>
      </c>
      <c r="GD3" s="92" t="s">
        <v>17</v>
      </c>
      <c r="GE3" s="99" t="s">
        <v>302</v>
      </c>
      <c r="GF3" s="92" t="s">
        <v>16</v>
      </c>
      <c r="GG3" s="99" t="s">
        <v>303</v>
      </c>
      <c r="GH3" s="92" t="s">
        <v>12</v>
      </c>
      <c r="GI3" s="92" t="s">
        <v>11</v>
      </c>
      <c r="GJ3" s="91" t="s">
        <v>10</v>
      </c>
      <c r="GK3" s="92" t="s">
        <v>9</v>
      </c>
      <c r="GL3" s="91" t="s">
        <v>8</v>
      </c>
      <c r="GM3" s="92" t="s">
        <v>7</v>
      </c>
      <c r="GN3" s="91" t="s">
        <v>6</v>
      </c>
      <c r="GO3" s="92" t="s">
        <v>5</v>
      </c>
      <c r="GP3" s="91" t="s">
        <v>4</v>
      </c>
      <c r="GQ3" s="92" t="s">
        <v>3</v>
      </c>
      <c r="GR3" s="91" t="s">
        <v>2</v>
      </c>
      <c r="GS3" s="92" t="s">
        <v>1</v>
      </c>
      <c r="GT3" s="91" t="s">
        <v>0</v>
      </c>
    </row>
    <row r="4" spans="1:202" s="90" customFormat="1" x14ac:dyDescent="0.25">
      <c r="A4" s="100" t="s">
        <v>14</v>
      </c>
      <c r="B4" s="92">
        <v>5914872</v>
      </c>
      <c r="C4" s="92">
        <v>1514099</v>
      </c>
      <c r="D4" s="92">
        <v>1096043</v>
      </c>
      <c r="E4" s="92">
        <v>434379</v>
      </c>
      <c r="F4" s="92">
        <v>124459</v>
      </c>
      <c r="G4" s="103">
        <f>C4/B4</f>
        <v>0.25598170171729834</v>
      </c>
      <c r="H4" s="103">
        <f>D4/B4</f>
        <v>0.18530291103509933</v>
      </c>
      <c r="I4" s="103">
        <f>E4/B4</f>
        <v>7.343844465273297E-2</v>
      </c>
      <c r="J4" s="103">
        <f>F4/B4</f>
        <v>2.1041706397027696E-2</v>
      </c>
      <c r="K4" s="92">
        <v>510727</v>
      </c>
      <c r="L4" s="99">
        <f>K4/D4</f>
        <v>0.46597350651388675</v>
      </c>
      <c r="M4" s="92">
        <v>585316</v>
      </c>
      <c r="N4" s="99">
        <f>M4/D4</f>
        <v>0.5340264934861132</v>
      </c>
      <c r="O4" s="147">
        <v>40.200000000000003</v>
      </c>
      <c r="P4" s="92">
        <v>2479480</v>
      </c>
      <c r="Q4" s="92">
        <v>1033712</v>
      </c>
      <c r="R4" s="103">
        <f>Q4/P4</f>
        <v>0.41690677077451721</v>
      </c>
      <c r="S4" s="92">
        <v>778619</v>
      </c>
      <c r="T4" s="103">
        <f>S4/P4</f>
        <v>0.31402511816993883</v>
      </c>
      <c r="U4" s="92">
        <v>510727</v>
      </c>
      <c r="V4" s="92">
        <v>35830</v>
      </c>
      <c r="W4" s="103">
        <f>V4/U4</f>
        <v>7.0154896843127548E-2</v>
      </c>
      <c r="X4" s="92">
        <v>343234</v>
      </c>
      <c r="Y4" s="103">
        <f>X4/U4</f>
        <v>0.67204984267524526</v>
      </c>
      <c r="Z4" s="92">
        <v>14953</v>
      </c>
      <c r="AA4" s="103">
        <f>Z4/U4</f>
        <v>2.9277872522893836E-2</v>
      </c>
      <c r="AB4" s="92">
        <v>50209</v>
      </c>
      <c r="AC4" s="103">
        <f>AB4/U4</f>
        <v>9.8308881261417541E-2</v>
      </c>
      <c r="AD4" s="92">
        <v>66501</v>
      </c>
      <c r="AE4" s="103">
        <f>AD4/U4</f>
        <v>0.13020850669731579</v>
      </c>
      <c r="AF4" s="92">
        <v>585316</v>
      </c>
      <c r="AG4" s="92">
        <v>37140</v>
      </c>
      <c r="AH4" s="103">
        <f>AG4/AF4</f>
        <v>6.345290407233016E-2</v>
      </c>
      <c r="AI4" s="92">
        <v>275664</v>
      </c>
      <c r="AJ4" s="103">
        <f>AI4/AF4</f>
        <v>0.47096611061375393</v>
      </c>
      <c r="AK4" s="92">
        <v>14366</v>
      </c>
      <c r="AL4" s="103">
        <f>AK4/AF4</f>
        <v>2.4544006997929323E-2</v>
      </c>
      <c r="AM4" s="92">
        <v>165331</v>
      </c>
      <c r="AN4" s="103">
        <f>AM4/AF4</f>
        <v>0.28246451489451851</v>
      </c>
      <c r="AO4" s="92">
        <v>92815</v>
      </c>
      <c r="AP4" s="103">
        <f>AO4/AF4</f>
        <v>0.15857246342146805</v>
      </c>
      <c r="AQ4" s="92">
        <f>SUM(U4,AF4)</f>
        <v>1096043</v>
      </c>
      <c r="AR4" s="92">
        <f>SUM(V4,AG4)</f>
        <v>72970</v>
      </c>
      <c r="AS4" s="103">
        <f>AR4/AQ4</f>
        <v>6.6575855144369339E-2</v>
      </c>
      <c r="AT4" s="92">
        <f>SUM(X4,AI4)</f>
        <v>618898</v>
      </c>
      <c r="AU4" s="103">
        <f>AT4/AQ4</f>
        <v>0.56466580234534591</v>
      </c>
      <c r="AV4" s="92">
        <f>SUM(Z4,AK4)</f>
        <v>29319</v>
      </c>
      <c r="AW4" s="103">
        <f>AV4/AQ4</f>
        <v>2.6749862915962239E-2</v>
      </c>
      <c r="AX4" s="92">
        <f>SUM(AB4,AM4)</f>
        <v>215540</v>
      </c>
      <c r="AY4" s="103">
        <f>AX4/AQ4</f>
        <v>0.1966528685462158</v>
      </c>
      <c r="AZ4" s="92">
        <f>SUM(AD4,AO4)</f>
        <v>159316</v>
      </c>
      <c r="BA4" s="103">
        <f>AZ4/AQ4</f>
        <v>0.14535561104810668</v>
      </c>
      <c r="BB4" s="93">
        <v>501270</v>
      </c>
      <c r="BC4" s="93">
        <v>144564</v>
      </c>
      <c r="BD4" s="151">
        <f>BC4/BB4</f>
        <v>0.2883954754922497</v>
      </c>
      <c r="BE4" s="93">
        <v>568121</v>
      </c>
      <c r="BF4" s="93">
        <v>159656</v>
      </c>
      <c r="BG4" s="151">
        <f t="shared" ref="BG4:BG67" si="0">BF4/BE4</f>
        <v>0.28102464087755952</v>
      </c>
      <c r="BH4" s="93">
        <f>SUM(BB4,BE4)</f>
        <v>1069391</v>
      </c>
      <c r="BI4" s="93">
        <f>SUM(BC4,BF4)</f>
        <v>304220</v>
      </c>
      <c r="BJ4" s="151">
        <f>BI4/BH4</f>
        <v>0.28447967113992917</v>
      </c>
      <c r="BK4" s="92">
        <v>1096043</v>
      </c>
      <c r="BL4" s="92">
        <v>320658</v>
      </c>
      <c r="BM4" s="103">
        <f>BL4/BK4</f>
        <v>0.29255968972020258</v>
      </c>
      <c r="BN4" s="92">
        <v>510727</v>
      </c>
      <c r="BO4" s="92">
        <v>109743</v>
      </c>
      <c r="BP4" s="103">
        <f>BO4/BN4</f>
        <v>0.21487604923961334</v>
      </c>
      <c r="BQ4" s="92">
        <v>585316</v>
      </c>
      <c r="BR4" s="92">
        <v>210915</v>
      </c>
      <c r="BS4" s="103">
        <f>BR4/BQ4</f>
        <v>0.36034381428151629</v>
      </c>
      <c r="BT4" s="95">
        <v>5960975</v>
      </c>
      <c r="BU4" s="95">
        <v>1168733</v>
      </c>
      <c r="BV4" s="155">
        <f>BU4/BT4</f>
        <v>0.19606406670049781</v>
      </c>
      <c r="BW4" s="155">
        <f>BU4/$BU4</f>
        <v>1</v>
      </c>
      <c r="BX4" s="95">
        <v>4704156</v>
      </c>
      <c r="BY4" s="95">
        <v>1076580</v>
      </c>
      <c r="BZ4" s="157">
        <f>BY4/BX4</f>
        <v>0.22885720626611872</v>
      </c>
      <c r="CA4" s="157">
        <f>BY4/$BU4</f>
        <v>0.92115136647976914</v>
      </c>
      <c r="CB4" s="95">
        <v>376518</v>
      </c>
      <c r="CC4" s="158">
        <v>36846</v>
      </c>
      <c r="CD4" s="159">
        <f>CC4/CB4</f>
        <v>9.7859863273469003E-2</v>
      </c>
      <c r="CE4" s="159">
        <f>CC4/$BU4</f>
        <v>3.1526447871327329E-2</v>
      </c>
      <c r="CF4" s="160">
        <v>52129</v>
      </c>
      <c r="CG4" s="160">
        <v>7377</v>
      </c>
      <c r="CH4" s="157">
        <f>CG4/CF4</f>
        <v>0.14151432024401006</v>
      </c>
      <c r="CI4" s="157">
        <f>CG4/$BU4</f>
        <v>6.311963468131729E-3</v>
      </c>
      <c r="CJ4" s="160">
        <v>206457</v>
      </c>
      <c r="CK4" s="158">
        <v>14292</v>
      </c>
      <c r="CL4" s="157">
        <f>CK4/CJ4</f>
        <v>6.9225068658364697E-2</v>
      </c>
      <c r="CM4" s="157">
        <f>CK4/$BU4</f>
        <v>1.2228627068800145E-2</v>
      </c>
      <c r="CN4" s="160">
        <v>2518</v>
      </c>
      <c r="CO4" s="160">
        <v>299</v>
      </c>
      <c r="CP4" s="157">
        <f>CO4/CN4</f>
        <v>0.1187450357426529</v>
      </c>
      <c r="CQ4" s="157">
        <f>CO4/$BU4</f>
        <v>2.5583259820677605E-4</v>
      </c>
      <c r="CR4" s="101">
        <v>92690</v>
      </c>
      <c r="CS4" s="101">
        <v>2381</v>
      </c>
      <c r="CT4" s="102">
        <f>CS4/CR4</f>
        <v>2.5687776459164958E-2</v>
      </c>
      <c r="CU4" s="102">
        <f>CS4/$BU4</f>
        <v>2.0372488840479392E-3</v>
      </c>
      <c r="CV4" s="160">
        <v>118928</v>
      </c>
      <c r="CW4" s="160">
        <v>5630</v>
      </c>
      <c r="CX4" s="157">
        <f>CW4/CV4</f>
        <v>4.7339566796717344E-2</v>
      </c>
      <c r="CY4" s="157">
        <f>CW4/$BU4</f>
        <v>4.8171823675724054E-3</v>
      </c>
      <c r="CZ4" s="160">
        <v>500269</v>
      </c>
      <c r="DA4" s="160">
        <v>27709</v>
      </c>
      <c r="DB4" s="157">
        <f>DA4/CZ4</f>
        <v>5.5388201147782493E-2</v>
      </c>
      <c r="DC4" s="157">
        <f>DA4/$BU4</f>
        <v>2.3708580146192502E-2</v>
      </c>
      <c r="DD4" s="92">
        <v>510727</v>
      </c>
      <c r="DE4" s="92">
        <v>37962</v>
      </c>
      <c r="DF4" s="92">
        <v>179581</v>
      </c>
      <c r="DG4" s="92">
        <v>142801</v>
      </c>
      <c r="DH4" s="92">
        <v>150383</v>
      </c>
      <c r="DI4" s="103">
        <f>DE4/DD4</f>
        <v>7.4329338374513193E-2</v>
      </c>
      <c r="DJ4" s="103">
        <f>DF4/DD4</f>
        <v>0.35161837929069739</v>
      </c>
      <c r="DK4" s="103">
        <f>SUM(DG4:DH4)/DD4</f>
        <v>0.57405228233478944</v>
      </c>
      <c r="DL4" s="92">
        <v>585316</v>
      </c>
      <c r="DM4" s="92">
        <v>39828</v>
      </c>
      <c r="DN4" s="92">
        <v>230513</v>
      </c>
      <c r="DO4" s="92">
        <v>164474</v>
      </c>
      <c r="DP4" s="92">
        <v>150501</v>
      </c>
      <c r="DQ4" s="103">
        <f>DM4/DL4</f>
        <v>6.804529519097377E-2</v>
      </c>
      <c r="DR4" s="103">
        <f>DN4/DL4</f>
        <v>0.39382658256394837</v>
      </c>
      <c r="DS4" s="103">
        <f>SUM(DO4:DP4)/DL4</f>
        <v>0.53812812224507789</v>
      </c>
      <c r="DT4" s="92">
        <f>SUM(DL4,DD4)</f>
        <v>1096043</v>
      </c>
      <c r="DU4" s="92">
        <f>SUM(DM4,DE4)</f>
        <v>77790</v>
      </c>
      <c r="DV4" s="92">
        <f>SUM(DN4,DF4)</f>
        <v>410094</v>
      </c>
      <c r="DW4" s="92">
        <f t="shared" ref="DW4:DX4" si="1">SUM(DO4,DG4)</f>
        <v>307275</v>
      </c>
      <c r="DX4" s="92">
        <f t="shared" si="1"/>
        <v>300884</v>
      </c>
      <c r="DY4" s="103">
        <f>DU4/DT4</f>
        <v>7.0973492828292323E-2</v>
      </c>
      <c r="DZ4" s="103">
        <f>DV4/DT4</f>
        <v>0.37415867808106068</v>
      </c>
      <c r="EA4" s="103">
        <f>SUM(DW4:DX4)/DT4</f>
        <v>0.55486782909064702</v>
      </c>
      <c r="EB4" s="92">
        <v>704634</v>
      </c>
      <c r="EC4" s="92">
        <v>62109</v>
      </c>
      <c r="ED4" s="103">
        <f>EC4/$EB4</f>
        <v>8.8143632013215373E-2</v>
      </c>
      <c r="EE4" s="92">
        <v>129765</v>
      </c>
      <c r="EF4" s="103">
        <f>EE4/$EB4</f>
        <v>0.18415943596249967</v>
      </c>
      <c r="EG4" s="92">
        <v>215008</v>
      </c>
      <c r="EH4" s="103">
        <f>EG4/$EB4</f>
        <v>0.30513429667032815</v>
      </c>
      <c r="EI4" s="92">
        <v>309613</v>
      </c>
      <c r="EJ4" s="103">
        <f>EI4/$EB4</f>
        <v>0.43939548758646335</v>
      </c>
      <c r="EK4" s="92">
        <v>454481</v>
      </c>
      <c r="EL4" s="103">
        <f>EK4/$EB4</f>
        <v>0.64498874593051148</v>
      </c>
      <c r="EM4" s="92">
        <v>546311</v>
      </c>
      <c r="EN4" s="103">
        <f>EM4/$EB4</f>
        <v>0.77531172211389177</v>
      </c>
      <c r="EO4" s="162">
        <v>77485</v>
      </c>
      <c r="EP4" s="162">
        <v>45850</v>
      </c>
      <c r="EQ4" s="162">
        <v>90128</v>
      </c>
      <c r="ER4" s="162">
        <v>94903</v>
      </c>
      <c r="ES4" s="162">
        <v>56488</v>
      </c>
      <c r="ET4" s="92">
        <v>501270</v>
      </c>
      <c r="EU4" s="92">
        <v>37828</v>
      </c>
      <c r="EV4" s="103">
        <f>EU4/ET4</f>
        <v>7.5464320625610953E-2</v>
      </c>
      <c r="EW4" s="92">
        <v>568121</v>
      </c>
      <c r="EX4" s="92">
        <v>59402</v>
      </c>
      <c r="EY4" s="103">
        <f>EX4/EW4</f>
        <v>0.10455871196452868</v>
      </c>
      <c r="EZ4" s="92">
        <f>SUM(ET4,EW4)</f>
        <v>1069391</v>
      </c>
      <c r="FA4" s="92">
        <f>SUM(EU4,EX4)</f>
        <v>97230</v>
      </c>
      <c r="FB4" s="103">
        <f>FA4/EZ4</f>
        <v>9.092090732014764E-2</v>
      </c>
      <c r="FC4" s="92">
        <v>1069391</v>
      </c>
      <c r="FD4" s="92">
        <v>97230</v>
      </c>
      <c r="FE4" s="103">
        <f>FD4/$FC4</f>
        <v>9.092090732014764E-2</v>
      </c>
      <c r="FF4" s="92">
        <v>170118</v>
      </c>
      <c r="FG4" s="103">
        <f>FF4/$FC4</f>
        <v>0.15907932645776895</v>
      </c>
      <c r="FH4" s="92">
        <v>234788</v>
      </c>
      <c r="FI4" s="103">
        <f>FH4/$FC4</f>
        <v>0.21955299792124677</v>
      </c>
      <c r="FJ4" s="92">
        <v>271979</v>
      </c>
      <c r="FK4" s="103">
        <f>FJ4/$FC4</f>
        <v>0.25433073590482808</v>
      </c>
      <c r="FL4" s="92">
        <v>461898</v>
      </c>
      <c r="FM4" s="103">
        <f>FL4/$FC4</f>
        <v>0.43192620846818425</v>
      </c>
      <c r="FN4" s="92">
        <v>85607</v>
      </c>
      <c r="FO4" s="103">
        <v>0.26448198518280513</v>
      </c>
      <c r="FP4" s="92">
        <v>1872</v>
      </c>
      <c r="FQ4" s="103">
        <v>5.7835256026050582E-3</v>
      </c>
      <c r="FR4" s="92">
        <v>15521</v>
      </c>
      <c r="FS4" s="103">
        <v>8.2978257034253058E-2</v>
      </c>
      <c r="FT4" s="91">
        <v>187</v>
      </c>
      <c r="FU4" s="103">
        <v>9.9973803655726569E-4</v>
      </c>
      <c r="FV4" s="92">
        <v>70927</v>
      </c>
      <c r="FW4" s="103">
        <v>0.20985188735628102</v>
      </c>
      <c r="FX4" s="92">
        <v>1471</v>
      </c>
      <c r="FY4" s="103">
        <v>4.3522512766800995E-3</v>
      </c>
      <c r="FZ4" s="92">
        <v>11118</v>
      </c>
      <c r="GA4" s="103">
        <v>4.4952088303076863E-2</v>
      </c>
      <c r="GB4" s="92">
        <v>313</v>
      </c>
      <c r="GC4" s="103">
        <v>1.2655157077588646E-3</v>
      </c>
      <c r="GD4" s="92">
        <v>183173</v>
      </c>
      <c r="GE4" s="99">
        <v>0.16712209283759852</v>
      </c>
      <c r="GF4" s="92">
        <v>3843</v>
      </c>
      <c r="GG4" s="99">
        <v>3.5062492986132842E-3</v>
      </c>
      <c r="GH4" s="92">
        <v>704634</v>
      </c>
      <c r="GI4" s="92">
        <v>158043</v>
      </c>
      <c r="GJ4" s="103">
        <f>GI4/GH4</f>
        <v>0.22429090847163208</v>
      </c>
      <c r="GK4" s="92">
        <v>56619</v>
      </c>
      <c r="GL4" s="103">
        <f>GK4/GI4</f>
        <v>0.35825060268407966</v>
      </c>
      <c r="GM4" s="92">
        <v>87122</v>
      </c>
      <c r="GN4" s="103">
        <f>GM4/GI4</f>
        <v>0.55125503818581023</v>
      </c>
      <c r="GO4" s="92">
        <v>546591</v>
      </c>
      <c r="GP4" s="103">
        <f>GO4/GH4</f>
        <v>0.77570909152836787</v>
      </c>
      <c r="GQ4" s="92">
        <v>413533</v>
      </c>
      <c r="GR4" s="103">
        <f>GQ4/GO4</f>
        <v>0.75656752489521417</v>
      </c>
      <c r="GS4" s="92">
        <v>128749</v>
      </c>
      <c r="GT4" s="103">
        <f>GS4/GO4</f>
        <v>0.23554906685254606</v>
      </c>
    </row>
    <row r="5" spans="1:202" x14ac:dyDescent="0.25">
      <c r="A5" s="104" t="s">
        <v>177</v>
      </c>
      <c r="B5" s="143">
        <v>21123</v>
      </c>
      <c r="C5" s="143">
        <v>9045</v>
      </c>
      <c r="D5" s="143">
        <v>6803</v>
      </c>
      <c r="E5" s="143">
        <v>2595</v>
      </c>
      <c r="F5" s="143">
        <v>668</v>
      </c>
      <c r="G5" s="144">
        <f t="shared" ref="G5:G68" si="2">C5/B5</f>
        <v>0.42820622070728592</v>
      </c>
      <c r="H5" s="144">
        <f t="shared" ref="H5:H68" si="3">D5/B5</f>
        <v>0.32206599441367229</v>
      </c>
      <c r="I5" s="144">
        <f t="shared" ref="I5:I68" si="4">E5/B5</f>
        <v>0.12285186763243858</v>
      </c>
      <c r="J5" s="144">
        <f t="shared" ref="J5:J68" si="5">F5/B5</f>
        <v>3.1624295791317522E-2</v>
      </c>
      <c r="K5" s="143">
        <v>3531</v>
      </c>
      <c r="L5" s="145">
        <f t="shared" ref="L5:L68" si="6">K5/D5</f>
        <v>0.5190357195354991</v>
      </c>
      <c r="M5" s="143">
        <v>3272</v>
      </c>
      <c r="N5" s="145">
        <f t="shared" ref="N5:N68" si="7">M5/D5</f>
        <v>0.48096428046450096</v>
      </c>
      <c r="O5" s="148">
        <v>55.7</v>
      </c>
      <c r="P5" s="107">
        <v>9517</v>
      </c>
      <c r="Q5" s="107">
        <v>5968</v>
      </c>
      <c r="R5" s="108">
        <f t="shared" ref="R5:R68" si="8">Q5/P5</f>
        <v>0.62708836818325098</v>
      </c>
      <c r="S5" s="107">
        <v>4721</v>
      </c>
      <c r="T5" s="149">
        <f t="shared" ref="T5:T68" si="9">S5/P5</f>
        <v>0.49605968267311129</v>
      </c>
      <c r="U5" s="143">
        <v>3531</v>
      </c>
      <c r="V5" s="107">
        <v>148</v>
      </c>
      <c r="W5" s="108">
        <f t="shared" ref="W5:W68" si="10">V5/U5</f>
        <v>4.1914471821013877E-2</v>
      </c>
      <c r="X5" s="107">
        <v>2326</v>
      </c>
      <c r="Y5" s="150">
        <f t="shared" ref="Y5:Y68" si="11">X5/U5</f>
        <v>0.65873690172755595</v>
      </c>
      <c r="Z5" s="107">
        <v>91</v>
      </c>
      <c r="AA5" s="108">
        <f t="shared" ref="AA5:AA68" si="12">Z5/U5</f>
        <v>2.5771736052109882E-2</v>
      </c>
      <c r="AB5" s="107">
        <v>325</v>
      </c>
      <c r="AC5" s="108">
        <f t="shared" ref="AC5:AC68" si="13">AB5/U5</f>
        <v>9.2041914471821015E-2</v>
      </c>
      <c r="AD5" s="107">
        <v>641</v>
      </c>
      <c r="AE5" s="108">
        <f t="shared" ref="AE5:AE68" si="14">AD5/U5</f>
        <v>0.18153497592749929</v>
      </c>
      <c r="AF5" s="107">
        <v>3272</v>
      </c>
      <c r="AG5" s="107">
        <v>165</v>
      </c>
      <c r="AH5" s="108">
        <f t="shared" ref="AH5:AH68" si="15">AG5/AF5</f>
        <v>5.04278728606357E-2</v>
      </c>
      <c r="AI5" s="107">
        <v>1739</v>
      </c>
      <c r="AJ5" s="108">
        <f t="shared" ref="AJ5:AJ68" si="16">AI5/AF5</f>
        <v>0.53147921760391204</v>
      </c>
      <c r="AK5" s="107">
        <v>68</v>
      </c>
      <c r="AL5" s="108">
        <f t="shared" ref="AL5:AL68" si="17">AK5/AF5</f>
        <v>2.0782396088019559E-2</v>
      </c>
      <c r="AM5" s="107">
        <v>836</v>
      </c>
      <c r="AN5" s="108">
        <f t="shared" ref="AN5:AN68" si="18">AM5/AF5</f>
        <v>0.25550122249388751</v>
      </c>
      <c r="AO5" s="107">
        <v>464</v>
      </c>
      <c r="AP5" s="108">
        <f t="shared" ref="AP5:AP68" si="19">AO5/AF5</f>
        <v>0.14180929095354522</v>
      </c>
      <c r="AQ5" s="107">
        <f t="shared" ref="AQ5:AQ68" si="20">SUM(U5,AF5)</f>
        <v>6803</v>
      </c>
      <c r="AR5" s="107">
        <f t="shared" ref="AR5:AR68" si="21">SUM(V5,AG5)</f>
        <v>313</v>
      </c>
      <c r="AS5" s="108">
        <f t="shared" ref="AS5:AS68" si="22">AR5/AQ5</f>
        <v>4.6009113626341323E-2</v>
      </c>
      <c r="AT5" s="107">
        <f t="shared" ref="AT5:AT68" si="23">SUM(X5,AI5)</f>
        <v>4065</v>
      </c>
      <c r="AU5" s="108">
        <f t="shared" ref="AU5:AU68" si="24">AT5/AQ5</f>
        <v>0.59753050124944873</v>
      </c>
      <c r="AV5" s="107">
        <f t="shared" ref="AV5:AV68" si="25">SUM(Z5,AK5)</f>
        <v>159</v>
      </c>
      <c r="AW5" s="108">
        <f t="shared" ref="AW5:AW68" si="26">AV5/AQ5</f>
        <v>2.3372041746288402E-2</v>
      </c>
      <c r="AX5" s="107">
        <f t="shared" ref="AX5:AX68" si="27">SUM(AB5,AM5)</f>
        <v>1161</v>
      </c>
      <c r="AY5" s="108">
        <f t="shared" ref="AY5:AY68" si="28">AX5/AQ5</f>
        <v>0.17066000293987946</v>
      </c>
      <c r="AZ5" s="107">
        <f t="shared" ref="AZ5:AZ68" si="29">SUM(AD5,AO5)</f>
        <v>1105</v>
      </c>
      <c r="BA5" s="108">
        <f t="shared" ref="BA5:BA68" si="30">AZ5/AQ5</f>
        <v>0.16242834043804205</v>
      </c>
      <c r="BB5" s="111">
        <v>3519</v>
      </c>
      <c r="BC5" s="111">
        <v>1240</v>
      </c>
      <c r="BD5" s="152">
        <f t="shared" ref="BD5:BD68" si="31">BC5/BB5</f>
        <v>0.35237283319124751</v>
      </c>
      <c r="BE5" s="111">
        <v>3241</v>
      </c>
      <c r="BF5" s="111">
        <v>1130</v>
      </c>
      <c r="BG5" s="152">
        <f t="shared" si="0"/>
        <v>0.34865782165998149</v>
      </c>
      <c r="BH5" s="153">
        <f t="shared" ref="BH5:BH68" si="32">SUM(BB5,BE5)</f>
        <v>6760</v>
      </c>
      <c r="BI5" s="153">
        <f t="shared" ref="BI5:BI68" si="33">SUM(BC5,BF5)</f>
        <v>2370</v>
      </c>
      <c r="BJ5" s="154">
        <f t="shared" ref="BJ5:BJ68" si="34">BI5/BH5</f>
        <v>0.35059171597633138</v>
      </c>
      <c r="BK5" s="107">
        <v>6803</v>
      </c>
      <c r="BL5" s="107">
        <v>1740</v>
      </c>
      <c r="BM5" s="108">
        <f>BL5/BK5</f>
        <v>0.25576951344994853</v>
      </c>
      <c r="BN5" s="107">
        <v>3531</v>
      </c>
      <c r="BO5" s="107">
        <v>901</v>
      </c>
      <c r="BP5" s="108">
        <f t="shared" ref="BP5:BP68" si="35">BO5/BN5</f>
        <v>0.25516850750495612</v>
      </c>
      <c r="BQ5" s="107">
        <v>3272</v>
      </c>
      <c r="BR5" s="107">
        <v>839</v>
      </c>
      <c r="BS5" s="108">
        <f t="shared" ref="BS5:BS68" si="36">BR5/BQ5</f>
        <v>0.25641809290953543</v>
      </c>
      <c r="BT5" s="113">
        <v>21352</v>
      </c>
      <c r="BU5" s="113">
        <v>7276</v>
      </c>
      <c r="BV5" s="156">
        <f t="shared" ref="BV5:BV68" si="37">BU5/BT5</f>
        <v>0.34076433121019106</v>
      </c>
      <c r="BW5" s="156">
        <f t="shared" ref="BW5:BW68" si="38">BU5/$BU5</f>
        <v>1</v>
      </c>
      <c r="BX5" s="113">
        <v>19105</v>
      </c>
      <c r="BY5" s="113">
        <v>7026</v>
      </c>
      <c r="BZ5" s="156">
        <f t="shared" ref="BZ5:BZ68" si="39">BY5/BX5</f>
        <v>0.36775713164093171</v>
      </c>
      <c r="CA5" s="156">
        <f t="shared" ref="CA5:CA68" si="40">BY5/$BU5</f>
        <v>0.96564046179219354</v>
      </c>
      <c r="CB5" s="113">
        <v>624</v>
      </c>
      <c r="CC5" s="113">
        <v>47</v>
      </c>
      <c r="CD5" s="156">
        <f t="shared" ref="CD5:CD68" si="41">CC5/CB5</f>
        <v>7.5320512820512817E-2</v>
      </c>
      <c r="CE5" s="156">
        <f>CC5/$BU5</f>
        <v>6.4595931830676197E-3</v>
      </c>
      <c r="CF5" s="113">
        <v>201</v>
      </c>
      <c r="CG5" s="113">
        <v>33</v>
      </c>
      <c r="CH5" s="156">
        <f t="shared" ref="CH5:CH68" si="42">CG5/CF5</f>
        <v>0.16417910447761194</v>
      </c>
      <c r="CI5" s="156">
        <f t="shared" ref="CI5:CI68" si="43">CG5/$BU5</f>
        <v>4.5354590434304566E-3</v>
      </c>
      <c r="CJ5" s="113">
        <v>137</v>
      </c>
      <c r="CK5" s="113">
        <v>26</v>
      </c>
      <c r="CL5" s="161">
        <f t="shared" ref="CL5:CL68" si="44">CK5/CJ5</f>
        <v>0.18978102189781021</v>
      </c>
      <c r="CM5" s="156">
        <f t="shared" ref="CM5:CM68" si="45">CK5/$BU5</f>
        <v>3.5733919736118747E-3</v>
      </c>
      <c r="CN5" s="113">
        <v>7</v>
      </c>
      <c r="CO5" s="113">
        <v>1</v>
      </c>
      <c r="CP5" s="161">
        <f t="shared" ref="CP5:CP68" si="46">CO5/CN5</f>
        <v>0.14285714285714285</v>
      </c>
      <c r="CQ5" s="156">
        <f t="shared" ref="CQ5:CQ68" si="47">CO5/$BU5</f>
        <v>1.3743815283122595E-4</v>
      </c>
      <c r="CR5" s="105">
        <v>126</v>
      </c>
      <c r="CS5" s="105">
        <v>11</v>
      </c>
      <c r="CT5" s="106">
        <f t="shared" ref="CT5:CT68" si="48">CS5/CR5</f>
        <v>8.7301587301587297E-2</v>
      </c>
      <c r="CU5" s="106">
        <f t="shared" ref="CU5:CU68" si="49">CS5/$BU5</f>
        <v>1.5118196811434853E-3</v>
      </c>
      <c r="CV5" s="113">
        <v>291</v>
      </c>
      <c r="CW5" s="113">
        <v>47</v>
      </c>
      <c r="CX5" s="156">
        <f t="shared" ref="CX5:CX68" si="50">CW5/CV5</f>
        <v>0.16151202749140894</v>
      </c>
      <c r="CY5" s="156">
        <f t="shared" ref="CY5:CY68" si="51">CW5/$BU5</f>
        <v>6.4595931830676197E-3</v>
      </c>
      <c r="CZ5" s="113">
        <v>987</v>
      </c>
      <c r="DA5" s="113">
        <v>96</v>
      </c>
      <c r="DB5" s="156">
        <f t="shared" ref="DB5:DB68" si="52">DA5/CZ5</f>
        <v>9.7264437689969604E-2</v>
      </c>
      <c r="DC5" s="156">
        <f>DA5/BU5</f>
        <v>1.3194062671797692E-2</v>
      </c>
      <c r="DD5" s="107">
        <v>3531</v>
      </c>
      <c r="DE5" s="107">
        <v>458</v>
      </c>
      <c r="DF5" s="107">
        <v>1466</v>
      </c>
      <c r="DG5" s="107">
        <v>923</v>
      </c>
      <c r="DH5" s="107">
        <v>684</v>
      </c>
      <c r="DI5" s="149">
        <f t="shared" ref="DI5:DI68" si="53">DE5/DD5</f>
        <v>0.129708297932597</v>
      </c>
      <c r="DJ5" s="149">
        <f t="shared" ref="DJ5:DJ68" si="54">DF5/DD5</f>
        <v>0.41517983574058342</v>
      </c>
      <c r="DK5" s="149">
        <f t="shared" ref="DK5:DK68" si="55">SUM(DG5:DH5)/DD5</f>
        <v>0.4551118663268196</v>
      </c>
      <c r="DL5" s="107">
        <v>3272</v>
      </c>
      <c r="DM5" s="107">
        <v>319</v>
      </c>
      <c r="DN5" s="107">
        <v>1372</v>
      </c>
      <c r="DO5" s="107">
        <v>1095</v>
      </c>
      <c r="DP5" s="107">
        <v>486</v>
      </c>
      <c r="DQ5" s="149">
        <f t="shared" ref="DQ5:DQ68" si="56">DM5/DL5</f>
        <v>9.7493887530562345E-2</v>
      </c>
      <c r="DR5" s="149">
        <f t="shared" ref="DR5:DR68" si="57">DN5/DL5</f>
        <v>0.4193154034229829</v>
      </c>
      <c r="DS5" s="149">
        <f t="shared" ref="DS5:DS68" si="58">SUM(DO5:DP5)/DL5</f>
        <v>0.48319070904645478</v>
      </c>
      <c r="DT5" s="107">
        <f t="shared" ref="DT5:DT68" si="59">SUM(DL5,DD5)</f>
        <v>6803</v>
      </c>
      <c r="DU5" s="107">
        <f t="shared" ref="DU5:DU68" si="60">SUM(DM5,DE5)</f>
        <v>777</v>
      </c>
      <c r="DV5" s="107">
        <f t="shared" ref="DV5:DV68" si="61">SUM(DN5,DF5)</f>
        <v>2838</v>
      </c>
      <c r="DW5" s="107">
        <f t="shared" ref="DW5:DW68" si="62">SUM(DO5,DG5)</f>
        <v>2018</v>
      </c>
      <c r="DX5" s="107">
        <f t="shared" ref="DX5:DX68" si="63">SUM(DP5,DH5)</f>
        <v>1170</v>
      </c>
      <c r="DY5" s="108">
        <f t="shared" ref="DY5:DY68" si="64">DU5/DT5</f>
        <v>0.11421431721299427</v>
      </c>
      <c r="DZ5" s="108">
        <f t="shared" ref="DZ5:DZ68" si="65">DV5/DT5</f>
        <v>0.41716889607526092</v>
      </c>
      <c r="EA5" s="108">
        <f t="shared" ref="EA5:EA68" si="66">SUM(DW5:DX5)/DT5</f>
        <v>0.46861678671174484</v>
      </c>
      <c r="EB5" s="107">
        <v>4285</v>
      </c>
      <c r="EC5" s="110">
        <v>392</v>
      </c>
      <c r="ED5" s="108">
        <f t="shared" ref="ED5:EF68" si="67">EC5/$EB5</f>
        <v>9.1481913652275385E-2</v>
      </c>
      <c r="EE5" s="107">
        <v>835</v>
      </c>
      <c r="EF5" s="108">
        <f t="shared" si="67"/>
        <v>0.19486581096849476</v>
      </c>
      <c r="EG5" s="107">
        <v>1531</v>
      </c>
      <c r="EH5" s="108">
        <f t="shared" ref="EH5" si="68">EG5/$EB5</f>
        <v>0.35729288214702448</v>
      </c>
      <c r="EI5" s="107">
        <v>2315</v>
      </c>
      <c r="EJ5" s="108">
        <f t="shared" ref="EJ5" si="69">EI5/$EB5</f>
        <v>0.54025670945157522</v>
      </c>
      <c r="EK5" s="107">
        <v>3163</v>
      </c>
      <c r="EL5" s="108">
        <f t="shared" ref="EL5" si="70">EK5/$EB5</f>
        <v>0.73815635939323221</v>
      </c>
      <c r="EM5" s="107">
        <v>3658</v>
      </c>
      <c r="EN5" s="108">
        <f t="shared" ref="EN5" si="71">EM5/$EB5</f>
        <v>0.85367561260210034</v>
      </c>
      <c r="EO5" s="163">
        <v>59442</v>
      </c>
      <c r="EP5" s="163">
        <v>67500</v>
      </c>
      <c r="EQ5" s="163">
        <v>69730</v>
      </c>
      <c r="ER5" s="163">
        <v>80799</v>
      </c>
      <c r="ES5" s="163">
        <v>47002</v>
      </c>
      <c r="ET5" s="107">
        <v>3519</v>
      </c>
      <c r="EU5" s="107">
        <v>311</v>
      </c>
      <c r="EV5" s="108">
        <f t="shared" ref="EV5:EV68" si="72">EU5/ET5</f>
        <v>8.8377379937482237E-2</v>
      </c>
      <c r="EW5" s="111">
        <v>3241</v>
      </c>
      <c r="EX5" s="107">
        <v>534</v>
      </c>
      <c r="EY5" s="108">
        <f t="shared" ref="EY5:EY68" si="73">EX5/EW5</f>
        <v>0.16476396174020363</v>
      </c>
      <c r="EZ5" s="107">
        <f t="shared" ref="EZ5:EZ68" si="74">SUM(ET5,EW5)</f>
        <v>6760</v>
      </c>
      <c r="FA5" s="107">
        <f t="shared" ref="FA5:FA68" si="75">SUM(EU5,EX5)</f>
        <v>845</v>
      </c>
      <c r="FB5" s="108">
        <f t="shared" ref="FB5:FB68" si="76">FA5/EZ5</f>
        <v>0.125</v>
      </c>
      <c r="FC5" s="107">
        <v>6760</v>
      </c>
      <c r="FD5" s="107">
        <v>845</v>
      </c>
      <c r="FE5" s="108">
        <f t="shared" ref="FE5:FG68" si="77">FD5/$FC5</f>
        <v>0.125</v>
      </c>
      <c r="FF5" s="107">
        <v>1442</v>
      </c>
      <c r="FG5" s="108">
        <f t="shared" si="77"/>
        <v>0.21331360946745562</v>
      </c>
      <c r="FH5" s="107">
        <v>1873</v>
      </c>
      <c r="FI5" s="108">
        <f t="shared" ref="FI5" si="78">FH5/$FC5</f>
        <v>0.27707100591715977</v>
      </c>
      <c r="FJ5" s="107">
        <v>2380</v>
      </c>
      <c r="FK5" s="108">
        <f t="shared" ref="FK5" si="79">FJ5/$FC5</f>
        <v>0.35207100591715978</v>
      </c>
      <c r="FL5" s="107">
        <v>3744</v>
      </c>
      <c r="FM5" s="108">
        <f t="shared" ref="FM5" si="80">FL5/$FC5</f>
        <v>0.55384615384615388</v>
      </c>
      <c r="FN5" s="107">
        <v>362</v>
      </c>
      <c r="FO5" s="108">
        <v>0.16153502900490851</v>
      </c>
      <c r="FP5" s="107">
        <v>2</v>
      </c>
      <c r="FQ5" s="108">
        <v>8.9245872378402495E-4</v>
      </c>
      <c r="FR5" s="107">
        <v>72</v>
      </c>
      <c r="FS5" s="108">
        <v>5.5813953488372092E-2</v>
      </c>
      <c r="FT5" s="110">
        <v>1</v>
      </c>
      <c r="FU5" s="108">
        <v>7.7519379844961239E-4</v>
      </c>
      <c r="FV5" s="107">
        <v>267</v>
      </c>
      <c r="FW5" s="108">
        <v>0.13573970513472292</v>
      </c>
      <c r="FX5" s="107">
        <v>3</v>
      </c>
      <c r="FY5" s="108">
        <v>1.5251652262328419E-3</v>
      </c>
      <c r="FZ5" s="107">
        <v>125</v>
      </c>
      <c r="GA5" s="108">
        <v>9.5785440613026823E-2</v>
      </c>
      <c r="GB5" s="107">
        <v>0</v>
      </c>
      <c r="GC5" s="108">
        <v>0</v>
      </c>
      <c r="GD5" s="107">
        <v>826</v>
      </c>
      <c r="GE5" s="117">
        <v>0.12141702190210202</v>
      </c>
      <c r="GF5" s="107">
        <v>6</v>
      </c>
      <c r="GG5" s="117">
        <v>8.8196383948258125E-4</v>
      </c>
      <c r="GH5" s="107">
        <v>4285</v>
      </c>
      <c r="GI5" s="107">
        <v>333</v>
      </c>
      <c r="GJ5" s="108">
        <f t="shared" ref="GJ5:GJ68" si="81">GI5/GH5</f>
        <v>7.7712952158693116E-2</v>
      </c>
      <c r="GK5" s="107">
        <v>104</v>
      </c>
      <c r="GL5" s="108">
        <f t="shared" ref="GL5:GL68" si="82">GK5/GI5</f>
        <v>0.31231231231231232</v>
      </c>
      <c r="GM5" s="107">
        <v>126</v>
      </c>
      <c r="GN5" s="108">
        <f t="shared" ref="GN5:GN68" si="83">GM5/GI5</f>
        <v>0.3783783783783784</v>
      </c>
      <c r="GO5" s="107">
        <v>3952</v>
      </c>
      <c r="GP5" s="108">
        <f t="shared" ref="GP5:GP68" si="84">GO5/GH5</f>
        <v>0.92228704784130688</v>
      </c>
      <c r="GQ5" s="107">
        <v>2866</v>
      </c>
      <c r="GR5" s="108">
        <f t="shared" ref="GR5:GR68" si="85">GQ5/GO5</f>
        <v>0.7252024291497976</v>
      </c>
      <c r="GS5" s="107">
        <v>1052</v>
      </c>
      <c r="GT5" s="108">
        <f t="shared" ref="GT5:GT68" si="86">GS5/GO5</f>
        <v>0.26619433198380565</v>
      </c>
    </row>
    <row r="6" spans="1:202" x14ac:dyDescent="0.25">
      <c r="A6" s="104" t="s">
        <v>178</v>
      </c>
      <c r="B6" s="143">
        <v>16080</v>
      </c>
      <c r="C6" s="143">
        <v>4731</v>
      </c>
      <c r="D6" s="143">
        <v>3452</v>
      </c>
      <c r="E6" s="143">
        <v>1316</v>
      </c>
      <c r="F6" s="143">
        <v>459</v>
      </c>
      <c r="G6" s="144">
        <f t="shared" si="2"/>
        <v>0.29421641791044778</v>
      </c>
      <c r="H6" s="144">
        <f t="shared" si="3"/>
        <v>0.21467661691542289</v>
      </c>
      <c r="I6" s="144">
        <f t="shared" si="4"/>
        <v>8.1840796019900491E-2</v>
      </c>
      <c r="J6" s="144">
        <f t="shared" si="5"/>
        <v>2.8544776119402985E-2</v>
      </c>
      <c r="K6" s="143">
        <v>1683</v>
      </c>
      <c r="L6" s="145">
        <f t="shared" si="6"/>
        <v>0.48754345307068364</v>
      </c>
      <c r="M6" s="143">
        <v>1769</v>
      </c>
      <c r="N6" s="145">
        <f t="shared" si="7"/>
        <v>0.5124565469293163</v>
      </c>
      <c r="O6" s="148">
        <v>43.1</v>
      </c>
      <c r="P6" s="107">
        <v>6832</v>
      </c>
      <c r="Q6" s="107">
        <v>3251</v>
      </c>
      <c r="R6" s="108">
        <f t="shared" si="8"/>
        <v>0.4758489461358314</v>
      </c>
      <c r="S6" s="107">
        <v>2483</v>
      </c>
      <c r="T6" s="149">
        <f t="shared" si="9"/>
        <v>0.36343676814988291</v>
      </c>
      <c r="U6" s="143">
        <v>1683</v>
      </c>
      <c r="V6" s="107">
        <v>159</v>
      </c>
      <c r="W6" s="108">
        <f t="shared" si="10"/>
        <v>9.4474153297682703E-2</v>
      </c>
      <c r="X6" s="107">
        <v>973</v>
      </c>
      <c r="Y6" s="150">
        <f t="shared" si="11"/>
        <v>0.57813428401663691</v>
      </c>
      <c r="Z6" s="107">
        <v>54</v>
      </c>
      <c r="AA6" s="108">
        <f t="shared" si="12"/>
        <v>3.2085561497326207E-2</v>
      </c>
      <c r="AB6" s="107">
        <v>210</v>
      </c>
      <c r="AC6" s="108">
        <f t="shared" si="13"/>
        <v>0.12477718360071301</v>
      </c>
      <c r="AD6" s="107">
        <v>287</v>
      </c>
      <c r="AE6" s="108">
        <f t="shared" si="14"/>
        <v>0.17052881758764113</v>
      </c>
      <c r="AF6" s="107">
        <v>1769</v>
      </c>
      <c r="AG6" s="107">
        <v>153</v>
      </c>
      <c r="AH6" s="108">
        <f t="shared" si="15"/>
        <v>8.6489542114188814E-2</v>
      </c>
      <c r="AI6" s="107">
        <v>815</v>
      </c>
      <c r="AJ6" s="108">
        <f t="shared" si="16"/>
        <v>0.46071226681741095</v>
      </c>
      <c r="AK6" s="107">
        <v>51</v>
      </c>
      <c r="AL6" s="108">
        <f t="shared" si="17"/>
        <v>2.882984737139627E-2</v>
      </c>
      <c r="AM6" s="107">
        <v>434</v>
      </c>
      <c r="AN6" s="108">
        <f t="shared" si="18"/>
        <v>0.24533634821933295</v>
      </c>
      <c r="AO6" s="107">
        <v>316</v>
      </c>
      <c r="AP6" s="108">
        <f t="shared" si="19"/>
        <v>0.178631995477671</v>
      </c>
      <c r="AQ6" s="107">
        <f t="shared" si="20"/>
        <v>3452</v>
      </c>
      <c r="AR6" s="107">
        <f t="shared" si="21"/>
        <v>312</v>
      </c>
      <c r="AS6" s="108">
        <f t="shared" si="22"/>
        <v>9.0382387022016217E-2</v>
      </c>
      <c r="AT6" s="107">
        <f t="shared" si="23"/>
        <v>1788</v>
      </c>
      <c r="AU6" s="108">
        <f t="shared" si="24"/>
        <v>0.51796060254924681</v>
      </c>
      <c r="AV6" s="107">
        <f t="shared" si="25"/>
        <v>105</v>
      </c>
      <c r="AW6" s="108">
        <f t="shared" si="26"/>
        <v>3.0417149478563152E-2</v>
      </c>
      <c r="AX6" s="107">
        <f t="shared" si="27"/>
        <v>644</v>
      </c>
      <c r="AY6" s="108">
        <f t="shared" si="28"/>
        <v>0.18655851680185401</v>
      </c>
      <c r="AZ6" s="107">
        <f t="shared" si="29"/>
        <v>603</v>
      </c>
      <c r="BA6" s="108">
        <f t="shared" si="30"/>
        <v>0.17468134414831982</v>
      </c>
      <c r="BB6" s="111">
        <v>1600</v>
      </c>
      <c r="BC6" s="111">
        <v>534</v>
      </c>
      <c r="BD6" s="152">
        <f t="shared" si="31"/>
        <v>0.33374999999999999</v>
      </c>
      <c r="BE6" s="111">
        <v>1680</v>
      </c>
      <c r="BF6" s="111">
        <v>509</v>
      </c>
      <c r="BG6" s="152">
        <f t="shared" si="0"/>
        <v>0.30297619047619045</v>
      </c>
      <c r="BH6" s="153">
        <f t="shared" si="32"/>
        <v>3280</v>
      </c>
      <c r="BI6" s="153">
        <f t="shared" si="33"/>
        <v>1043</v>
      </c>
      <c r="BJ6" s="154">
        <f t="shared" si="34"/>
        <v>0.31798780487804879</v>
      </c>
      <c r="BK6" s="107">
        <v>3452</v>
      </c>
      <c r="BL6" s="107">
        <v>1154</v>
      </c>
      <c r="BM6" s="108">
        <f t="shared" ref="BM6:BM68" si="87">BL6/BK6</f>
        <v>0.33429895712630359</v>
      </c>
      <c r="BN6" s="107">
        <v>1683</v>
      </c>
      <c r="BO6" s="107">
        <v>494</v>
      </c>
      <c r="BP6" s="108">
        <f t="shared" si="35"/>
        <v>0.29352346999405821</v>
      </c>
      <c r="BQ6" s="107">
        <v>1769</v>
      </c>
      <c r="BR6" s="107">
        <v>660</v>
      </c>
      <c r="BS6" s="108">
        <f t="shared" si="36"/>
        <v>0.37309214245336347</v>
      </c>
      <c r="BT6" s="113">
        <v>16196</v>
      </c>
      <c r="BU6" s="113">
        <v>3708</v>
      </c>
      <c r="BV6" s="156">
        <f t="shared" si="37"/>
        <v>0.22894541862188195</v>
      </c>
      <c r="BW6" s="156">
        <f t="shared" si="38"/>
        <v>1</v>
      </c>
      <c r="BX6" s="113">
        <v>13277</v>
      </c>
      <c r="BY6" s="113">
        <v>3295</v>
      </c>
      <c r="BZ6" s="156">
        <f t="shared" si="39"/>
        <v>0.24817353317767568</v>
      </c>
      <c r="CA6" s="156">
        <f t="shared" si="40"/>
        <v>0.88861920172599784</v>
      </c>
      <c r="CB6" s="113">
        <v>112</v>
      </c>
      <c r="CC6" s="113">
        <v>8</v>
      </c>
      <c r="CD6" s="156">
        <f t="shared" si="41"/>
        <v>7.1428571428571425E-2</v>
      </c>
      <c r="CE6" s="156">
        <f t="shared" ref="CE6:CE69" si="88">CC6/$BU6</f>
        <v>2.1574973031283709E-3</v>
      </c>
      <c r="CF6" s="113">
        <v>1595</v>
      </c>
      <c r="CG6" s="113">
        <v>260</v>
      </c>
      <c r="CH6" s="156">
        <f t="shared" si="42"/>
        <v>0.16300940438871472</v>
      </c>
      <c r="CI6" s="156">
        <f t="shared" si="43"/>
        <v>7.0118662351672065E-2</v>
      </c>
      <c r="CJ6" s="113">
        <v>157</v>
      </c>
      <c r="CK6" s="113">
        <v>17</v>
      </c>
      <c r="CL6" s="161">
        <f t="shared" si="44"/>
        <v>0.10828025477707007</v>
      </c>
      <c r="CM6" s="156">
        <f t="shared" si="45"/>
        <v>4.5846817691477882E-3</v>
      </c>
      <c r="CN6" s="113">
        <v>6</v>
      </c>
      <c r="CO6" s="113">
        <v>0</v>
      </c>
      <c r="CP6" s="161">
        <f t="shared" si="46"/>
        <v>0</v>
      </c>
      <c r="CQ6" s="156">
        <f t="shared" si="47"/>
        <v>0</v>
      </c>
      <c r="CR6" s="105">
        <v>44</v>
      </c>
      <c r="CS6" s="105">
        <v>0</v>
      </c>
      <c r="CT6" s="106">
        <f t="shared" si="48"/>
        <v>0</v>
      </c>
      <c r="CU6" s="106">
        <f t="shared" si="49"/>
        <v>0</v>
      </c>
      <c r="CV6" s="113">
        <v>531</v>
      </c>
      <c r="CW6" s="113">
        <v>87</v>
      </c>
      <c r="CX6" s="156">
        <f t="shared" si="50"/>
        <v>0.16384180790960451</v>
      </c>
      <c r="CY6" s="156">
        <f t="shared" si="51"/>
        <v>2.3462783171521034E-2</v>
      </c>
      <c r="CZ6" s="113">
        <v>518</v>
      </c>
      <c r="DA6" s="113">
        <v>41</v>
      </c>
      <c r="DB6" s="156">
        <f t="shared" si="52"/>
        <v>7.9150579150579145E-2</v>
      </c>
      <c r="DC6" s="156">
        <f t="shared" ref="DC6:DC68" si="89">DA6/BU6</f>
        <v>1.1057173678532902E-2</v>
      </c>
      <c r="DD6" s="107">
        <v>1683</v>
      </c>
      <c r="DE6" s="107">
        <v>91</v>
      </c>
      <c r="DF6" s="107">
        <v>697</v>
      </c>
      <c r="DG6" s="107">
        <v>525</v>
      </c>
      <c r="DH6" s="107">
        <v>370</v>
      </c>
      <c r="DI6" s="149">
        <f t="shared" si="53"/>
        <v>5.4070112893642303E-2</v>
      </c>
      <c r="DJ6" s="149">
        <f t="shared" si="54"/>
        <v>0.41414141414141414</v>
      </c>
      <c r="DK6" s="149">
        <f t="shared" si="55"/>
        <v>0.53178847296494358</v>
      </c>
      <c r="DL6" s="107">
        <v>1769</v>
      </c>
      <c r="DM6" s="107">
        <v>54</v>
      </c>
      <c r="DN6" s="107">
        <v>834</v>
      </c>
      <c r="DO6" s="107">
        <v>515</v>
      </c>
      <c r="DP6" s="107">
        <v>366</v>
      </c>
      <c r="DQ6" s="149">
        <f t="shared" si="56"/>
        <v>3.0525720746184284E-2</v>
      </c>
      <c r="DR6" s="149">
        <f t="shared" si="57"/>
        <v>0.47145279819106839</v>
      </c>
      <c r="DS6" s="149">
        <f t="shared" si="58"/>
        <v>0.4980214810627473</v>
      </c>
      <c r="DT6" s="107">
        <f t="shared" si="59"/>
        <v>3452</v>
      </c>
      <c r="DU6" s="107">
        <f t="shared" si="60"/>
        <v>145</v>
      </c>
      <c r="DV6" s="107">
        <f t="shared" si="61"/>
        <v>1531</v>
      </c>
      <c r="DW6" s="107">
        <f t="shared" si="62"/>
        <v>1040</v>
      </c>
      <c r="DX6" s="107">
        <f t="shared" si="63"/>
        <v>736</v>
      </c>
      <c r="DY6" s="108">
        <f t="shared" si="64"/>
        <v>4.2004634994206258E-2</v>
      </c>
      <c r="DZ6" s="108">
        <f t="shared" si="65"/>
        <v>0.44351100811123984</v>
      </c>
      <c r="EA6" s="108">
        <f t="shared" si="66"/>
        <v>0.51448435689455385</v>
      </c>
      <c r="EB6" s="107">
        <v>2292</v>
      </c>
      <c r="EC6" s="110">
        <v>410</v>
      </c>
      <c r="ED6" s="108">
        <f t="shared" si="67"/>
        <v>0.17888307155322863</v>
      </c>
      <c r="EE6" s="107">
        <v>665</v>
      </c>
      <c r="EF6" s="108">
        <f t="shared" si="67"/>
        <v>0.29013961605584643</v>
      </c>
      <c r="EG6" s="107">
        <v>940</v>
      </c>
      <c r="EH6" s="108">
        <f t="shared" ref="EH6" si="90">EG6/$EB6</f>
        <v>0.41012216404886565</v>
      </c>
      <c r="EI6" s="107">
        <v>1236</v>
      </c>
      <c r="EJ6" s="108">
        <f t="shared" ref="EJ6" si="91">EI6/$EB6</f>
        <v>0.53926701570680624</v>
      </c>
      <c r="EK6" s="107">
        <v>1712</v>
      </c>
      <c r="EL6" s="108">
        <f t="shared" ref="EL6" si="92">EK6/$EB6</f>
        <v>0.74694589877835948</v>
      </c>
      <c r="EM6" s="107">
        <v>1918</v>
      </c>
      <c r="EN6" s="108">
        <f t="shared" ref="EN6" si="93">EM6/$EB6</f>
        <v>0.8368237347294939</v>
      </c>
      <c r="EO6" s="163">
        <v>62462</v>
      </c>
      <c r="EP6" s="163">
        <v>56667</v>
      </c>
      <c r="EQ6" s="163">
        <v>70406</v>
      </c>
      <c r="ER6" s="163">
        <v>75422</v>
      </c>
      <c r="ES6" s="163">
        <v>44602</v>
      </c>
      <c r="ET6" s="107">
        <v>1600</v>
      </c>
      <c r="EU6" s="107">
        <v>227</v>
      </c>
      <c r="EV6" s="108">
        <f t="shared" si="72"/>
        <v>0.141875</v>
      </c>
      <c r="EW6" s="107">
        <v>1680</v>
      </c>
      <c r="EX6" s="107">
        <v>345</v>
      </c>
      <c r="EY6" s="108">
        <f t="shared" si="73"/>
        <v>0.20535714285714285</v>
      </c>
      <c r="EZ6" s="107">
        <f t="shared" si="74"/>
        <v>3280</v>
      </c>
      <c r="FA6" s="107">
        <f t="shared" si="75"/>
        <v>572</v>
      </c>
      <c r="FB6" s="108">
        <f t="shared" si="76"/>
        <v>0.17439024390243901</v>
      </c>
      <c r="FC6" s="107">
        <v>3280</v>
      </c>
      <c r="FD6" s="107">
        <v>572</v>
      </c>
      <c r="FE6" s="108">
        <f t="shared" si="77"/>
        <v>0.17439024390243901</v>
      </c>
      <c r="FF6" s="107">
        <v>869</v>
      </c>
      <c r="FG6" s="108">
        <f t="shared" si="77"/>
        <v>0.26493902439024392</v>
      </c>
      <c r="FH6" s="107">
        <v>1048</v>
      </c>
      <c r="FI6" s="108">
        <f t="shared" ref="FI6" si="94">FH6/$FC6</f>
        <v>0.31951219512195123</v>
      </c>
      <c r="FJ6" s="107">
        <v>1198</v>
      </c>
      <c r="FK6" s="108">
        <f t="shared" ref="FK6" si="95">FJ6/$FC6</f>
        <v>0.36524390243902438</v>
      </c>
      <c r="FL6" s="107">
        <v>1736</v>
      </c>
      <c r="FM6" s="108">
        <f t="shared" ref="FM6" si="96">FL6/$FC6</f>
        <v>0.52926829268292686</v>
      </c>
      <c r="FN6" s="107">
        <v>240</v>
      </c>
      <c r="FO6" s="108">
        <v>0.21937842778793418</v>
      </c>
      <c r="FP6" s="107">
        <v>2</v>
      </c>
      <c r="FQ6" s="108">
        <v>1.8281535648994515E-3</v>
      </c>
      <c r="FR6" s="107">
        <v>75</v>
      </c>
      <c r="FS6" s="108">
        <v>0.12733446519524619</v>
      </c>
      <c r="FT6" s="110">
        <v>2</v>
      </c>
      <c r="FU6" s="108">
        <v>3.3955857385398981E-3</v>
      </c>
      <c r="FV6" s="107">
        <v>240</v>
      </c>
      <c r="FW6" s="108">
        <v>0.23032629558541268</v>
      </c>
      <c r="FX6" s="107">
        <v>3</v>
      </c>
      <c r="FY6" s="108">
        <v>2.8790786948176585E-3</v>
      </c>
      <c r="FZ6" s="107">
        <v>67</v>
      </c>
      <c r="GA6" s="108">
        <v>9.2159559834938107E-2</v>
      </c>
      <c r="GB6" s="107">
        <v>1</v>
      </c>
      <c r="GC6" s="108">
        <v>1.375515818431912E-3</v>
      </c>
      <c r="GD6" s="107">
        <v>622</v>
      </c>
      <c r="GE6" s="117">
        <v>0.18018539976825029</v>
      </c>
      <c r="GF6" s="107">
        <v>8</v>
      </c>
      <c r="GG6" s="117">
        <v>2.3174971031286211E-3</v>
      </c>
      <c r="GH6" s="107">
        <v>2292</v>
      </c>
      <c r="GI6" s="107">
        <v>487</v>
      </c>
      <c r="GJ6" s="108">
        <f t="shared" si="81"/>
        <v>0.21247818499127399</v>
      </c>
      <c r="GK6" s="107">
        <v>166</v>
      </c>
      <c r="GL6" s="108">
        <f t="shared" si="82"/>
        <v>0.34086242299794661</v>
      </c>
      <c r="GM6" s="107">
        <v>243</v>
      </c>
      <c r="GN6" s="108">
        <f t="shared" si="83"/>
        <v>0.49897330595482547</v>
      </c>
      <c r="GO6" s="107">
        <v>1805</v>
      </c>
      <c r="GP6" s="108">
        <f t="shared" si="84"/>
        <v>0.78752181500872598</v>
      </c>
      <c r="GQ6" s="107">
        <v>1361</v>
      </c>
      <c r="GR6" s="108">
        <f t="shared" si="85"/>
        <v>0.75401662049861495</v>
      </c>
      <c r="GS6" s="107">
        <v>439</v>
      </c>
      <c r="GT6" s="108">
        <f t="shared" si="86"/>
        <v>0.24321329639889197</v>
      </c>
    </row>
    <row r="7" spans="1:202" x14ac:dyDescent="0.25">
      <c r="A7" s="104" t="s">
        <v>179</v>
      </c>
      <c r="B7" s="143">
        <v>46797</v>
      </c>
      <c r="C7" s="143">
        <v>14886</v>
      </c>
      <c r="D7" s="143">
        <v>11028</v>
      </c>
      <c r="E7" s="143">
        <v>4690</v>
      </c>
      <c r="F7" s="143">
        <v>1241</v>
      </c>
      <c r="G7" s="144">
        <f t="shared" si="2"/>
        <v>0.31809731393038015</v>
      </c>
      <c r="H7" s="144">
        <f t="shared" si="3"/>
        <v>0.23565613180332073</v>
      </c>
      <c r="I7" s="144">
        <f t="shared" si="4"/>
        <v>0.10022009957903284</v>
      </c>
      <c r="J7" s="144">
        <f t="shared" si="5"/>
        <v>2.6518793939782466E-2</v>
      </c>
      <c r="K7" s="143">
        <v>5326</v>
      </c>
      <c r="L7" s="145">
        <f t="shared" si="6"/>
        <v>0.48295248458469353</v>
      </c>
      <c r="M7" s="143">
        <v>5702</v>
      </c>
      <c r="N7" s="145">
        <f t="shared" si="7"/>
        <v>0.51704751541530647</v>
      </c>
      <c r="O7" s="148">
        <v>44.9</v>
      </c>
      <c r="P7" s="107">
        <v>19955</v>
      </c>
      <c r="Q7" s="107">
        <v>10027</v>
      </c>
      <c r="R7" s="108">
        <f t="shared" si="8"/>
        <v>0.50248058130794282</v>
      </c>
      <c r="S7" s="107">
        <v>7708</v>
      </c>
      <c r="T7" s="149">
        <f t="shared" si="9"/>
        <v>0.38626910548734655</v>
      </c>
      <c r="U7" s="143">
        <v>5326</v>
      </c>
      <c r="V7" s="107">
        <v>322</v>
      </c>
      <c r="W7" s="108">
        <f t="shared" si="10"/>
        <v>6.0458129928651898E-2</v>
      </c>
      <c r="X7" s="107">
        <v>3609</v>
      </c>
      <c r="Y7" s="150">
        <f t="shared" si="11"/>
        <v>0.67761922643634998</v>
      </c>
      <c r="Z7" s="107">
        <v>196</v>
      </c>
      <c r="AA7" s="108">
        <f t="shared" si="12"/>
        <v>3.680060082613594E-2</v>
      </c>
      <c r="AB7" s="107">
        <v>465</v>
      </c>
      <c r="AC7" s="108">
        <f t="shared" si="13"/>
        <v>8.7307547878332711E-2</v>
      </c>
      <c r="AD7" s="107">
        <v>734</v>
      </c>
      <c r="AE7" s="108">
        <f t="shared" si="14"/>
        <v>0.13781449493052947</v>
      </c>
      <c r="AF7" s="107">
        <v>5702</v>
      </c>
      <c r="AG7" s="107">
        <v>280</v>
      </c>
      <c r="AH7" s="108">
        <f t="shared" si="15"/>
        <v>4.9105576990529635E-2</v>
      </c>
      <c r="AI7" s="107">
        <v>2823</v>
      </c>
      <c r="AJ7" s="108">
        <f t="shared" si="16"/>
        <v>0.49508944230094704</v>
      </c>
      <c r="AK7" s="107">
        <v>150</v>
      </c>
      <c r="AL7" s="108">
        <f t="shared" si="17"/>
        <v>2.630655910206945E-2</v>
      </c>
      <c r="AM7" s="107">
        <v>1519</v>
      </c>
      <c r="AN7" s="108">
        <f t="shared" si="18"/>
        <v>0.2663977551736233</v>
      </c>
      <c r="AO7" s="107">
        <v>930</v>
      </c>
      <c r="AP7" s="108">
        <f t="shared" si="19"/>
        <v>0.16310066643283058</v>
      </c>
      <c r="AQ7" s="107">
        <f t="shared" si="20"/>
        <v>11028</v>
      </c>
      <c r="AR7" s="107">
        <f t="shared" si="21"/>
        <v>602</v>
      </c>
      <c r="AS7" s="108">
        <f t="shared" si="22"/>
        <v>5.4588320638375043E-2</v>
      </c>
      <c r="AT7" s="107">
        <f t="shared" si="23"/>
        <v>6432</v>
      </c>
      <c r="AU7" s="108">
        <f t="shared" si="24"/>
        <v>0.58324265505984763</v>
      </c>
      <c r="AV7" s="107">
        <f t="shared" si="25"/>
        <v>346</v>
      </c>
      <c r="AW7" s="108">
        <f t="shared" si="26"/>
        <v>3.1374682626042802E-2</v>
      </c>
      <c r="AX7" s="107">
        <f t="shared" si="27"/>
        <v>1984</v>
      </c>
      <c r="AY7" s="108">
        <f t="shared" si="28"/>
        <v>0.1799056945955749</v>
      </c>
      <c r="AZ7" s="107">
        <f t="shared" si="29"/>
        <v>1664</v>
      </c>
      <c r="BA7" s="108">
        <f t="shared" si="30"/>
        <v>0.15088864708015959</v>
      </c>
      <c r="BB7" s="111">
        <v>5228</v>
      </c>
      <c r="BC7" s="111">
        <v>1569</v>
      </c>
      <c r="BD7" s="152">
        <f t="shared" si="31"/>
        <v>0.30011476664116299</v>
      </c>
      <c r="BE7" s="111">
        <v>5495</v>
      </c>
      <c r="BF7" s="111">
        <v>1629</v>
      </c>
      <c r="BG7" s="152">
        <f t="shared" si="0"/>
        <v>0.29645131938125568</v>
      </c>
      <c r="BH7" s="153">
        <f t="shared" si="32"/>
        <v>10723</v>
      </c>
      <c r="BI7" s="153">
        <f t="shared" si="33"/>
        <v>3198</v>
      </c>
      <c r="BJ7" s="154">
        <f t="shared" si="34"/>
        <v>0.2982374335540427</v>
      </c>
      <c r="BK7" s="107">
        <v>11028</v>
      </c>
      <c r="BL7" s="107">
        <v>3134</v>
      </c>
      <c r="BM7" s="108">
        <f t="shared" si="87"/>
        <v>0.28418570910409868</v>
      </c>
      <c r="BN7" s="107">
        <v>5326</v>
      </c>
      <c r="BO7" s="107">
        <v>1217</v>
      </c>
      <c r="BP7" s="108">
        <f t="shared" si="35"/>
        <v>0.22850168982350733</v>
      </c>
      <c r="BQ7" s="107">
        <v>5702</v>
      </c>
      <c r="BR7" s="107">
        <v>1917</v>
      </c>
      <c r="BS7" s="108">
        <f t="shared" si="36"/>
        <v>0.33619782532444759</v>
      </c>
      <c r="BT7" s="113">
        <v>46810</v>
      </c>
      <c r="BU7" s="113">
        <v>11576</v>
      </c>
      <c r="BV7" s="156">
        <f t="shared" si="37"/>
        <v>0.24729758598590046</v>
      </c>
      <c r="BW7" s="156">
        <f t="shared" si="38"/>
        <v>1</v>
      </c>
      <c r="BX7" s="113">
        <v>42815</v>
      </c>
      <c r="BY7" s="113">
        <v>11263</v>
      </c>
      <c r="BZ7" s="156">
        <f t="shared" si="39"/>
        <v>0.26306201097746118</v>
      </c>
      <c r="CA7" s="156">
        <f t="shared" si="40"/>
        <v>0.97296129923980645</v>
      </c>
      <c r="CB7" s="113">
        <v>759</v>
      </c>
      <c r="CC7" s="113">
        <v>51</v>
      </c>
      <c r="CD7" s="156">
        <f t="shared" si="41"/>
        <v>6.7193675889328064E-2</v>
      </c>
      <c r="CE7" s="156">
        <f t="shared" si="88"/>
        <v>4.4056668970283343E-3</v>
      </c>
      <c r="CF7" s="113">
        <v>478</v>
      </c>
      <c r="CG7" s="113">
        <v>65</v>
      </c>
      <c r="CH7" s="156">
        <f t="shared" si="42"/>
        <v>0.13598326359832635</v>
      </c>
      <c r="CI7" s="156">
        <f t="shared" si="43"/>
        <v>5.615065653075328E-3</v>
      </c>
      <c r="CJ7" s="113">
        <v>359</v>
      </c>
      <c r="CK7" s="113">
        <v>51</v>
      </c>
      <c r="CL7" s="161">
        <f t="shared" si="44"/>
        <v>0.14206128133704735</v>
      </c>
      <c r="CM7" s="156">
        <f t="shared" si="45"/>
        <v>4.4056668970283343E-3</v>
      </c>
      <c r="CN7" s="113">
        <v>6</v>
      </c>
      <c r="CO7" s="113">
        <v>2</v>
      </c>
      <c r="CP7" s="161">
        <f t="shared" si="46"/>
        <v>0.33333333333333331</v>
      </c>
      <c r="CQ7" s="156">
        <f t="shared" si="47"/>
        <v>1.7277125086385625E-4</v>
      </c>
      <c r="CR7" s="105">
        <v>275</v>
      </c>
      <c r="CS7" s="105">
        <v>4</v>
      </c>
      <c r="CT7" s="106">
        <f t="shared" si="48"/>
        <v>1.4545454545454545E-2</v>
      </c>
      <c r="CU7" s="106">
        <f t="shared" si="49"/>
        <v>3.455425017277125E-4</v>
      </c>
      <c r="CV7" s="113">
        <v>644</v>
      </c>
      <c r="CW7" s="113">
        <v>53</v>
      </c>
      <c r="CX7" s="156">
        <f t="shared" si="50"/>
        <v>8.2298136645962736E-2</v>
      </c>
      <c r="CY7" s="156">
        <f t="shared" si="51"/>
        <v>4.5784381478921905E-3</v>
      </c>
      <c r="CZ7" s="113">
        <v>1749</v>
      </c>
      <c r="DA7" s="113">
        <v>91</v>
      </c>
      <c r="DB7" s="156">
        <f t="shared" si="52"/>
        <v>5.2029731275014292E-2</v>
      </c>
      <c r="DC7" s="156">
        <f t="shared" si="89"/>
        <v>7.8610919143054601E-3</v>
      </c>
      <c r="DD7" s="107">
        <v>5326</v>
      </c>
      <c r="DE7" s="107">
        <v>657</v>
      </c>
      <c r="DF7" s="107">
        <v>2194</v>
      </c>
      <c r="DG7" s="107">
        <v>1285</v>
      </c>
      <c r="DH7" s="107">
        <v>1190</v>
      </c>
      <c r="DI7" s="149">
        <f t="shared" si="53"/>
        <v>0.12335711603454751</v>
      </c>
      <c r="DJ7" s="149">
        <f t="shared" si="54"/>
        <v>0.41194141945174617</v>
      </c>
      <c r="DK7" s="149">
        <f t="shared" si="55"/>
        <v>0.46470146451370636</v>
      </c>
      <c r="DL7" s="107">
        <v>5702</v>
      </c>
      <c r="DM7" s="107">
        <v>490</v>
      </c>
      <c r="DN7" s="107">
        <v>2435</v>
      </c>
      <c r="DO7" s="107">
        <v>1570</v>
      </c>
      <c r="DP7" s="107">
        <v>1207</v>
      </c>
      <c r="DQ7" s="149">
        <f t="shared" si="56"/>
        <v>8.5934759733426874E-2</v>
      </c>
      <c r="DR7" s="149">
        <f t="shared" si="57"/>
        <v>0.4270431427569274</v>
      </c>
      <c r="DS7" s="149">
        <f t="shared" si="58"/>
        <v>0.48702209750964576</v>
      </c>
      <c r="DT7" s="107">
        <f t="shared" si="59"/>
        <v>11028</v>
      </c>
      <c r="DU7" s="107">
        <f t="shared" si="60"/>
        <v>1147</v>
      </c>
      <c r="DV7" s="107">
        <f t="shared" si="61"/>
        <v>4629</v>
      </c>
      <c r="DW7" s="107">
        <f t="shared" si="62"/>
        <v>2855</v>
      </c>
      <c r="DX7" s="107">
        <f t="shared" si="63"/>
        <v>2397</v>
      </c>
      <c r="DY7" s="108">
        <f t="shared" si="64"/>
        <v>0.10400797968806674</v>
      </c>
      <c r="DZ7" s="108">
        <f t="shared" si="65"/>
        <v>0.41974972796517956</v>
      </c>
      <c r="EA7" s="108">
        <f t="shared" si="66"/>
        <v>0.47624229234675369</v>
      </c>
      <c r="EB7" s="107">
        <v>7065</v>
      </c>
      <c r="EC7" s="110">
        <v>663</v>
      </c>
      <c r="ED7" s="108">
        <f t="shared" si="67"/>
        <v>9.3842887473460729E-2</v>
      </c>
      <c r="EE7" s="107">
        <v>1425</v>
      </c>
      <c r="EF7" s="108">
        <f t="shared" si="67"/>
        <v>0.20169851380042464</v>
      </c>
      <c r="EG7" s="107">
        <v>2524</v>
      </c>
      <c r="EH7" s="108">
        <f t="shared" ref="EH7" si="97">EG7/$EB7</f>
        <v>0.3572540693559802</v>
      </c>
      <c r="EI7" s="107">
        <v>3654</v>
      </c>
      <c r="EJ7" s="108">
        <f t="shared" ref="EJ7" si="98">EI7/$EB7</f>
        <v>0.51719745222929936</v>
      </c>
      <c r="EK7" s="107">
        <v>5119</v>
      </c>
      <c r="EL7" s="108">
        <f t="shared" ref="EL7" si="99">EK7/$EB7</f>
        <v>0.72455767869780607</v>
      </c>
      <c r="EM7" s="107">
        <v>6080</v>
      </c>
      <c r="EN7" s="108">
        <f t="shared" ref="EN7" si="100">EM7/$EB7</f>
        <v>0.86058032554847841</v>
      </c>
      <c r="EO7" s="163">
        <v>65933</v>
      </c>
      <c r="EP7" s="163">
        <v>46080</v>
      </c>
      <c r="EQ7" s="163">
        <v>79497</v>
      </c>
      <c r="ER7" s="163">
        <v>83273</v>
      </c>
      <c r="ES7" s="163">
        <v>48481</v>
      </c>
      <c r="ET7" s="107">
        <v>5228</v>
      </c>
      <c r="EU7" s="107">
        <v>435</v>
      </c>
      <c r="EV7" s="108">
        <f t="shared" si="72"/>
        <v>8.3205814843152259E-2</v>
      </c>
      <c r="EW7" s="107">
        <v>5495</v>
      </c>
      <c r="EX7" s="107">
        <v>528</v>
      </c>
      <c r="EY7" s="108">
        <f t="shared" si="73"/>
        <v>9.6087352138307547E-2</v>
      </c>
      <c r="EZ7" s="107">
        <f t="shared" si="74"/>
        <v>10723</v>
      </c>
      <c r="FA7" s="107">
        <f t="shared" si="75"/>
        <v>963</v>
      </c>
      <c r="FB7" s="108">
        <f t="shared" si="76"/>
        <v>8.9806957008299923E-2</v>
      </c>
      <c r="FC7" s="107">
        <v>10723</v>
      </c>
      <c r="FD7" s="107">
        <v>963</v>
      </c>
      <c r="FE7" s="108">
        <f t="shared" si="77"/>
        <v>8.9806957008299923E-2</v>
      </c>
      <c r="FF7" s="107">
        <v>2161</v>
      </c>
      <c r="FG7" s="108">
        <f t="shared" si="77"/>
        <v>0.20152942273617458</v>
      </c>
      <c r="FH7" s="107">
        <v>2786</v>
      </c>
      <c r="FI7" s="108">
        <f t="shared" ref="FI7" si="101">FH7/$FC7</f>
        <v>0.25981535018185209</v>
      </c>
      <c r="FJ7" s="107">
        <v>3269</v>
      </c>
      <c r="FK7" s="108">
        <f t="shared" ref="FK7" si="102">FJ7/$FC7</f>
        <v>0.30485871491187166</v>
      </c>
      <c r="FL7" s="107">
        <v>5684</v>
      </c>
      <c r="FM7" s="108">
        <f t="shared" ref="FM7" si="103">FL7/$FC7</f>
        <v>0.53007553856196965</v>
      </c>
      <c r="FN7" s="107">
        <v>673</v>
      </c>
      <c r="FO7" s="108">
        <v>0.2093312597200622</v>
      </c>
      <c r="FP7" s="107">
        <v>7</v>
      </c>
      <c r="FQ7" s="108">
        <v>2.1772939346811821E-3</v>
      </c>
      <c r="FR7" s="107">
        <v>135</v>
      </c>
      <c r="FS7" s="108">
        <v>6.3950734249171012E-2</v>
      </c>
      <c r="FT7" s="110">
        <v>0</v>
      </c>
      <c r="FU7" s="108">
        <v>0</v>
      </c>
      <c r="FV7" s="107">
        <v>701</v>
      </c>
      <c r="FW7" s="108">
        <v>0.22446365674031379</v>
      </c>
      <c r="FX7" s="107">
        <v>22</v>
      </c>
      <c r="FY7" s="108">
        <v>7.0445084854306754E-3</v>
      </c>
      <c r="FZ7" s="107">
        <v>140</v>
      </c>
      <c r="GA7" s="108">
        <v>5.4284606436603336E-2</v>
      </c>
      <c r="GB7" s="107">
        <v>0</v>
      </c>
      <c r="GC7" s="108">
        <v>0</v>
      </c>
      <c r="GD7" s="107">
        <v>1649</v>
      </c>
      <c r="GE7" s="117">
        <v>0.1495284729778745</v>
      </c>
      <c r="GF7" s="107">
        <v>29</v>
      </c>
      <c r="GG7" s="117">
        <v>2.6296699310845123E-3</v>
      </c>
      <c r="GH7" s="107">
        <v>7065</v>
      </c>
      <c r="GI7" s="107">
        <v>1457</v>
      </c>
      <c r="GJ7" s="108">
        <f t="shared" si="81"/>
        <v>0.2062278839348903</v>
      </c>
      <c r="GK7" s="107">
        <v>558</v>
      </c>
      <c r="GL7" s="108">
        <f t="shared" si="82"/>
        <v>0.38297872340425532</v>
      </c>
      <c r="GM7" s="107">
        <v>633</v>
      </c>
      <c r="GN7" s="108">
        <f t="shared" si="83"/>
        <v>0.43445435827041867</v>
      </c>
      <c r="GO7" s="107">
        <v>5608</v>
      </c>
      <c r="GP7" s="108">
        <f t="shared" si="84"/>
        <v>0.79377211606510967</v>
      </c>
      <c r="GQ7" s="107">
        <v>4281</v>
      </c>
      <c r="GR7" s="108">
        <f t="shared" si="85"/>
        <v>0.76337375178316691</v>
      </c>
      <c r="GS7" s="107">
        <v>1310</v>
      </c>
      <c r="GT7" s="108">
        <f t="shared" si="86"/>
        <v>0.23359486447931527</v>
      </c>
    </row>
    <row r="8" spans="1:202" x14ac:dyDescent="0.25">
      <c r="A8" s="104" t="s">
        <v>180</v>
      </c>
      <c r="B8" s="143">
        <v>16575</v>
      </c>
      <c r="C8" s="143">
        <v>6838</v>
      </c>
      <c r="D8" s="143">
        <v>5185</v>
      </c>
      <c r="E8" s="143">
        <v>1901</v>
      </c>
      <c r="F8" s="143">
        <v>497</v>
      </c>
      <c r="G8" s="144">
        <f t="shared" si="2"/>
        <v>0.41254901960784313</v>
      </c>
      <c r="H8" s="144">
        <f t="shared" si="3"/>
        <v>0.31282051282051282</v>
      </c>
      <c r="I8" s="144">
        <f t="shared" si="4"/>
        <v>0.11469079939668175</v>
      </c>
      <c r="J8" s="144">
        <f t="shared" si="5"/>
        <v>2.9984917043740573E-2</v>
      </c>
      <c r="K8" s="143">
        <v>2623</v>
      </c>
      <c r="L8" s="145">
        <f t="shared" si="6"/>
        <v>0.50588235294117645</v>
      </c>
      <c r="M8" s="143">
        <v>2562</v>
      </c>
      <c r="N8" s="145">
        <f t="shared" si="7"/>
        <v>0.49411764705882355</v>
      </c>
      <c r="O8" s="148">
        <v>54.6</v>
      </c>
      <c r="P8" s="107">
        <v>7437</v>
      </c>
      <c r="Q8" s="107">
        <v>4514</v>
      </c>
      <c r="R8" s="108">
        <f t="shared" si="8"/>
        <v>0.60696517412935325</v>
      </c>
      <c r="S8" s="107">
        <v>3600</v>
      </c>
      <c r="T8" s="149">
        <f t="shared" si="9"/>
        <v>0.48406615570794675</v>
      </c>
      <c r="U8" s="143">
        <v>2623</v>
      </c>
      <c r="V8" s="107">
        <v>125</v>
      </c>
      <c r="W8" s="108">
        <f t="shared" si="10"/>
        <v>4.7655356462066339E-2</v>
      </c>
      <c r="X8" s="107">
        <v>1892</v>
      </c>
      <c r="Y8" s="150">
        <f t="shared" si="11"/>
        <v>0.72131147540983609</v>
      </c>
      <c r="Z8" s="107">
        <v>87</v>
      </c>
      <c r="AA8" s="108">
        <f t="shared" si="12"/>
        <v>3.3168128097598171E-2</v>
      </c>
      <c r="AB8" s="107">
        <v>211</v>
      </c>
      <c r="AC8" s="108">
        <f t="shared" si="13"/>
        <v>8.0442241707967974E-2</v>
      </c>
      <c r="AD8" s="107">
        <v>308</v>
      </c>
      <c r="AE8" s="108">
        <f t="shared" si="14"/>
        <v>0.11742279832253145</v>
      </c>
      <c r="AF8" s="107">
        <v>2562</v>
      </c>
      <c r="AG8" s="107">
        <v>110</v>
      </c>
      <c r="AH8" s="108">
        <f t="shared" si="15"/>
        <v>4.2935206869633098E-2</v>
      </c>
      <c r="AI8" s="107">
        <v>1489</v>
      </c>
      <c r="AJ8" s="108">
        <f t="shared" si="16"/>
        <v>0.58118657298985166</v>
      </c>
      <c r="AK8" s="107">
        <v>18</v>
      </c>
      <c r="AL8" s="108">
        <f t="shared" si="17"/>
        <v>7.0257611241217799E-3</v>
      </c>
      <c r="AM8" s="107">
        <v>601</v>
      </c>
      <c r="AN8" s="108">
        <f t="shared" si="18"/>
        <v>0.23458235753317722</v>
      </c>
      <c r="AO8" s="107">
        <v>344</v>
      </c>
      <c r="AP8" s="108">
        <f t="shared" si="19"/>
        <v>0.13427010148321625</v>
      </c>
      <c r="AQ8" s="107">
        <f t="shared" si="20"/>
        <v>5185</v>
      </c>
      <c r="AR8" s="107">
        <f t="shared" si="21"/>
        <v>235</v>
      </c>
      <c r="AS8" s="108">
        <f t="shared" si="22"/>
        <v>4.5323047251687558E-2</v>
      </c>
      <c r="AT8" s="107">
        <f t="shared" si="23"/>
        <v>3381</v>
      </c>
      <c r="AU8" s="108">
        <f t="shared" si="24"/>
        <v>0.65207328833172618</v>
      </c>
      <c r="AV8" s="107">
        <f t="shared" si="25"/>
        <v>105</v>
      </c>
      <c r="AW8" s="108">
        <f t="shared" si="26"/>
        <v>2.0250723240115717E-2</v>
      </c>
      <c r="AX8" s="107">
        <f t="shared" si="27"/>
        <v>812</v>
      </c>
      <c r="AY8" s="108">
        <f t="shared" si="28"/>
        <v>0.15660559305689489</v>
      </c>
      <c r="AZ8" s="107">
        <f t="shared" si="29"/>
        <v>652</v>
      </c>
      <c r="BA8" s="108">
        <f t="shared" si="30"/>
        <v>0.12574734811957569</v>
      </c>
      <c r="BB8" s="111">
        <v>2599</v>
      </c>
      <c r="BC8" s="111">
        <v>811</v>
      </c>
      <c r="BD8" s="152">
        <f t="shared" si="31"/>
        <v>0.31204309349749904</v>
      </c>
      <c r="BE8" s="111">
        <v>2524</v>
      </c>
      <c r="BF8" s="111">
        <v>661</v>
      </c>
      <c r="BG8" s="152">
        <f t="shared" si="0"/>
        <v>0.26188589540412044</v>
      </c>
      <c r="BH8" s="153">
        <f t="shared" si="32"/>
        <v>5123</v>
      </c>
      <c r="BI8" s="153">
        <f t="shared" si="33"/>
        <v>1472</v>
      </c>
      <c r="BJ8" s="154">
        <f t="shared" si="34"/>
        <v>0.28733164161624047</v>
      </c>
      <c r="BK8" s="107">
        <v>5185</v>
      </c>
      <c r="BL8" s="107">
        <v>1231</v>
      </c>
      <c r="BM8" s="108">
        <f t="shared" si="87"/>
        <v>0.23741562198649951</v>
      </c>
      <c r="BN8" s="107">
        <v>2623</v>
      </c>
      <c r="BO8" s="107">
        <v>507</v>
      </c>
      <c r="BP8" s="108">
        <f t="shared" si="35"/>
        <v>0.19329012581014107</v>
      </c>
      <c r="BQ8" s="107">
        <v>2562</v>
      </c>
      <c r="BR8" s="107">
        <v>724</v>
      </c>
      <c r="BS8" s="108">
        <f t="shared" si="36"/>
        <v>0.28259172521467602</v>
      </c>
      <c r="BT8" s="113">
        <v>16838</v>
      </c>
      <c r="BU8" s="113">
        <v>5636</v>
      </c>
      <c r="BV8" s="156">
        <f t="shared" si="37"/>
        <v>0.33471908777764581</v>
      </c>
      <c r="BW8" s="156">
        <f t="shared" si="38"/>
        <v>1</v>
      </c>
      <c r="BX8" s="113">
        <v>14304</v>
      </c>
      <c r="BY8" s="113">
        <v>5283</v>
      </c>
      <c r="BZ8" s="156">
        <f t="shared" si="39"/>
        <v>0.36933724832214765</v>
      </c>
      <c r="CA8" s="156">
        <f t="shared" si="40"/>
        <v>0.93736692689850953</v>
      </c>
      <c r="CB8" s="113">
        <v>108</v>
      </c>
      <c r="CC8" s="113">
        <v>11</v>
      </c>
      <c r="CD8" s="156">
        <f t="shared" si="41"/>
        <v>0.10185185185185185</v>
      </c>
      <c r="CE8" s="156">
        <f t="shared" si="88"/>
        <v>1.9517388218594747E-3</v>
      </c>
      <c r="CF8" s="113">
        <v>1475</v>
      </c>
      <c r="CG8" s="113">
        <v>226</v>
      </c>
      <c r="CH8" s="156">
        <f t="shared" si="42"/>
        <v>0.15322033898305085</v>
      </c>
      <c r="CI8" s="156">
        <f t="shared" si="43"/>
        <v>4.0099361249112848E-2</v>
      </c>
      <c r="CJ8" s="113">
        <v>88</v>
      </c>
      <c r="CK8" s="113">
        <v>9</v>
      </c>
      <c r="CL8" s="161">
        <f t="shared" si="44"/>
        <v>0.10227272727272728</v>
      </c>
      <c r="CM8" s="156">
        <f t="shared" si="45"/>
        <v>1.5968772178850249E-3</v>
      </c>
      <c r="CN8" s="113">
        <v>2</v>
      </c>
      <c r="CO8" s="113">
        <v>1</v>
      </c>
      <c r="CP8" s="161">
        <f t="shared" si="46"/>
        <v>0.5</v>
      </c>
      <c r="CQ8" s="156">
        <f t="shared" si="47"/>
        <v>1.7743080198722499E-4</v>
      </c>
      <c r="CR8" s="105">
        <v>42</v>
      </c>
      <c r="CS8" s="105">
        <v>0</v>
      </c>
      <c r="CT8" s="106">
        <f t="shared" si="48"/>
        <v>0</v>
      </c>
      <c r="CU8" s="106">
        <f t="shared" si="49"/>
        <v>0</v>
      </c>
      <c r="CV8" s="113">
        <v>460</v>
      </c>
      <c r="CW8" s="113">
        <v>65</v>
      </c>
      <c r="CX8" s="156">
        <f t="shared" si="50"/>
        <v>0.14130434782608695</v>
      </c>
      <c r="CY8" s="156">
        <f t="shared" si="51"/>
        <v>1.1533002129169623E-2</v>
      </c>
      <c r="CZ8" s="113">
        <v>401</v>
      </c>
      <c r="DA8" s="113">
        <v>41</v>
      </c>
      <c r="DB8" s="156">
        <f t="shared" si="52"/>
        <v>0.10224438902743142</v>
      </c>
      <c r="DC8" s="156">
        <f t="shared" si="89"/>
        <v>7.2746628814762239E-3</v>
      </c>
      <c r="DD8" s="107">
        <v>2623</v>
      </c>
      <c r="DE8" s="107">
        <v>68</v>
      </c>
      <c r="DF8" s="107">
        <v>764</v>
      </c>
      <c r="DG8" s="107">
        <v>765</v>
      </c>
      <c r="DH8" s="107">
        <v>1026</v>
      </c>
      <c r="DI8" s="149">
        <f t="shared" si="53"/>
        <v>2.5924513915364086E-2</v>
      </c>
      <c r="DJ8" s="149">
        <f t="shared" si="54"/>
        <v>0.29126953869614947</v>
      </c>
      <c r="DK8" s="149">
        <f t="shared" si="55"/>
        <v>0.68280594738848643</v>
      </c>
      <c r="DL8" s="107">
        <v>2562</v>
      </c>
      <c r="DM8" s="107">
        <v>146</v>
      </c>
      <c r="DN8" s="107">
        <v>671</v>
      </c>
      <c r="DO8" s="107">
        <v>798</v>
      </c>
      <c r="DP8" s="107">
        <v>947</v>
      </c>
      <c r="DQ8" s="149">
        <f t="shared" si="56"/>
        <v>5.698672911787666E-2</v>
      </c>
      <c r="DR8" s="149">
        <f t="shared" si="57"/>
        <v>0.26190476190476192</v>
      </c>
      <c r="DS8" s="149">
        <f t="shared" si="58"/>
        <v>0.68110850897736142</v>
      </c>
      <c r="DT8" s="107">
        <f t="shared" si="59"/>
        <v>5185</v>
      </c>
      <c r="DU8" s="107">
        <f t="shared" si="60"/>
        <v>214</v>
      </c>
      <c r="DV8" s="107">
        <f t="shared" si="61"/>
        <v>1435</v>
      </c>
      <c r="DW8" s="107">
        <f t="shared" si="62"/>
        <v>1563</v>
      </c>
      <c r="DX8" s="107">
        <f t="shared" si="63"/>
        <v>1973</v>
      </c>
      <c r="DY8" s="108">
        <f t="shared" si="64"/>
        <v>4.1272902603664417E-2</v>
      </c>
      <c r="DZ8" s="108">
        <f t="shared" si="65"/>
        <v>0.27675988428158149</v>
      </c>
      <c r="EA8" s="108">
        <f t="shared" si="66"/>
        <v>0.68196721311475406</v>
      </c>
      <c r="EB8" s="107">
        <v>3288</v>
      </c>
      <c r="EC8" s="110">
        <v>256</v>
      </c>
      <c r="ED8" s="108">
        <f t="shared" si="67"/>
        <v>7.785888077858881E-2</v>
      </c>
      <c r="EE8" s="107">
        <v>575</v>
      </c>
      <c r="EF8" s="108">
        <f t="shared" si="67"/>
        <v>0.17487834549878345</v>
      </c>
      <c r="EG8" s="107">
        <v>953</v>
      </c>
      <c r="EH8" s="108">
        <f t="shared" ref="EH8" si="104">EG8/$EB8</f>
        <v>0.28984184914841848</v>
      </c>
      <c r="EI8" s="107">
        <v>1341</v>
      </c>
      <c r="EJ8" s="108">
        <f t="shared" ref="EJ8" si="105">EI8/$EB8</f>
        <v>0.40784671532846717</v>
      </c>
      <c r="EK8" s="107">
        <v>2133</v>
      </c>
      <c r="EL8" s="108">
        <f t="shared" ref="EL8" si="106">EK8/$EB8</f>
        <v>0.64872262773722633</v>
      </c>
      <c r="EM8" s="107">
        <v>2680</v>
      </c>
      <c r="EN8" s="108">
        <f t="shared" ref="EN8" si="107">EM8/$EB8</f>
        <v>0.81508515815085159</v>
      </c>
      <c r="EO8" s="163">
        <v>71151</v>
      </c>
      <c r="EP8" s="163">
        <v>49375</v>
      </c>
      <c r="EQ8" s="163">
        <v>82287</v>
      </c>
      <c r="ER8" s="163">
        <v>90231</v>
      </c>
      <c r="ES8" s="163">
        <v>59286</v>
      </c>
      <c r="ET8" s="107">
        <v>2599</v>
      </c>
      <c r="EU8" s="107">
        <v>159</v>
      </c>
      <c r="EV8" s="108">
        <f t="shared" si="72"/>
        <v>6.1177375913813004E-2</v>
      </c>
      <c r="EW8" s="107">
        <v>2524</v>
      </c>
      <c r="EX8" s="107">
        <v>199</v>
      </c>
      <c r="EY8" s="108">
        <f t="shared" si="73"/>
        <v>7.8843106180665604E-2</v>
      </c>
      <c r="EZ8" s="107">
        <f t="shared" si="74"/>
        <v>5123</v>
      </c>
      <c r="FA8" s="107">
        <f t="shared" si="75"/>
        <v>358</v>
      </c>
      <c r="FB8" s="108">
        <f t="shared" si="76"/>
        <v>6.9880929143080223E-2</v>
      </c>
      <c r="FC8" s="107">
        <v>5123</v>
      </c>
      <c r="FD8" s="107">
        <v>358</v>
      </c>
      <c r="FE8" s="108">
        <f t="shared" si="77"/>
        <v>6.9880929143080223E-2</v>
      </c>
      <c r="FF8" s="107">
        <v>772</v>
      </c>
      <c r="FG8" s="108">
        <f t="shared" si="77"/>
        <v>0.15069295334764787</v>
      </c>
      <c r="FH8" s="107">
        <v>1078</v>
      </c>
      <c r="FI8" s="108">
        <f t="shared" ref="FI8" si="108">FH8/$FC8</f>
        <v>0.21042357993363264</v>
      </c>
      <c r="FJ8" s="107">
        <v>1272</v>
      </c>
      <c r="FK8" s="108">
        <f t="shared" ref="FK8" si="109">FJ8/$FC8</f>
        <v>0.24829201639664258</v>
      </c>
      <c r="FL8" s="107">
        <v>2196</v>
      </c>
      <c r="FM8" s="108">
        <f t="shared" ref="FM8" si="110">FL8/$FC8</f>
        <v>0.42865508491118487</v>
      </c>
      <c r="FN8" s="107">
        <v>388</v>
      </c>
      <c r="FO8" s="108">
        <v>0.23054070112893643</v>
      </c>
      <c r="FP8" s="107">
        <v>11</v>
      </c>
      <c r="FQ8" s="108">
        <v>6.5359477124183009E-3</v>
      </c>
      <c r="FR8" s="107">
        <v>66</v>
      </c>
      <c r="FS8" s="108">
        <v>7.0212765957446813E-2</v>
      </c>
      <c r="FT8" s="110">
        <v>0</v>
      </c>
      <c r="FU8" s="108">
        <v>0</v>
      </c>
      <c r="FV8" s="107">
        <v>395</v>
      </c>
      <c r="FW8" s="108">
        <v>0.24672079950031231</v>
      </c>
      <c r="FX8" s="107">
        <v>7</v>
      </c>
      <c r="FY8" s="108">
        <v>4.3722673329169267E-3</v>
      </c>
      <c r="FZ8" s="107">
        <v>69</v>
      </c>
      <c r="GA8" s="108">
        <v>7.1800208116545264E-2</v>
      </c>
      <c r="GB8" s="107">
        <v>0</v>
      </c>
      <c r="GC8" s="108">
        <v>0</v>
      </c>
      <c r="GD8" s="107">
        <v>918</v>
      </c>
      <c r="GE8" s="117">
        <v>0.17704918032786884</v>
      </c>
      <c r="GF8" s="107">
        <v>18</v>
      </c>
      <c r="GG8" s="117">
        <v>3.4715525554484088E-3</v>
      </c>
      <c r="GH8" s="107">
        <v>3288</v>
      </c>
      <c r="GI8" s="107">
        <v>374</v>
      </c>
      <c r="GJ8" s="108">
        <f t="shared" si="81"/>
        <v>0.11374695863746959</v>
      </c>
      <c r="GK8" s="107">
        <v>152</v>
      </c>
      <c r="GL8" s="108">
        <f t="shared" si="82"/>
        <v>0.40641711229946526</v>
      </c>
      <c r="GM8" s="107">
        <v>164</v>
      </c>
      <c r="GN8" s="108">
        <f t="shared" si="83"/>
        <v>0.43850267379679142</v>
      </c>
      <c r="GO8" s="107">
        <v>2914</v>
      </c>
      <c r="GP8" s="108">
        <f t="shared" si="84"/>
        <v>0.88625304136253036</v>
      </c>
      <c r="GQ8" s="107">
        <v>2264</v>
      </c>
      <c r="GR8" s="108">
        <f t="shared" si="85"/>
        <v>0.77693891557995887</v>
      </c>
      <c r="GS8" s="107">
        <v>645</v>
      </c>
      <c r="GT8" s="108">
        <f t="shared" si="86"/>
        <v>0.2213452299245024</v>
      </c>
    </row>
    <row r="9" spans="1:202" x14ac:dyDescent="0.25">
      <c r="A9" s="104" t="s">
        <v>181</v>
      </c>
      <c r="B9" s="143">
        <v>270892</v>
      </c>
      <c r="C9" s="143">
        <v>61112</v>
      </c>
      <c r="D9" s="143">
        <v>44324</v>
      </c>
      <c r="E9" s="143">
        <v>17095</v>
      </c>
      <c r="F9" s="143">
        <v>4364</v>
      </c>
      <c r="G9" s="144">
        <f t="shared" si="2"/>
        <v>0.22559544024925063</v>
      </c>
      <c r="H9" s="144">
        <f t="shared" si="3"/>
        <v>0.1636224030240834</v>
      </c>
      <c r="I9" s="144">
        <f t="shared" si="4"/>
        <v>6.3106330198012497E-2</v>
      </c>
      <c r="J9" s="144">
        <f t="shared" si="5"/>
        <v>1.6109741151455192E-2</v>
      </c>
      <c r="K9" s="143">
        <v>20365</v>
      </c>
      <c r="L9" s="145">
        <f t="shared" si="6"/>
        <v>0.4594576301777818</v>
      </c>
      <c r="M9" s="143">
        <v>23959</v>
      </c>
      <c r="N9" s="145">
        <f t="shared" si="7"/>
        <v>0.54054236982221826</v>
      </c>
      <c r="O9" s="148">
        <v>38.200000000000003</v>
      </c>
      <c r="P9" s="107">
        <v>110933</v>
      </c>
      <c r="Q9" s="107">
        <v>42474</v>
      </c>
      <c r="R9" s="108">
        <f t="shared" si="8"/>
        <v>0.38287975624926757</v>
      </c>
      <c r="S9" s="107">
        <v>31870</v>
      </c>
      <c r="T9" s="149">
        <f t="shared" si="9"/>
        <v>0.28729052671432304</v>
      </c>
      <c r="U9" s="143">
        <v>20365</v>
      </c>
      <c r="V9" s="107">
        <v>1234</v>
      </c>
      <c r="W9" s="108">
        <f t="shared" si="10"/>
        <v>6.0594156641296339E-2</v>
      </c>
      <c r="X9" s="107">
        <v>13136</v>
      </c>
      <c r="Y9" s="150">
        <f t="shared" si="11"/>
        <v>0.64502823471642523</v>
      </c>
      <c r="Z9" s="107">
        <v>588</v>
      </c>
      <c r="AA9" s="108">
        <f t="shared" si="12"/>
        <v>2.8873066535723056E-2</v>
      </c>
      <c r="AB9" s="107">
        <v>2245</v>
      </c>
      <c r="AC9" s="108">
        <f t="shared" si="13"/>
        <v>0.11023815369506507</v>
      </c>
      <c r="AD9" s="107">
        <v>3162</v>
      </c>
      <c r="AE9" s="108">
        <f t="shared" si="14"/>
        <v>0.15526638841149029</v>
      </c>
      <c r="AF9" s="107">
        <v>23959</v>
      </c>
      <c r="AG9" s="107">
        <v>1529</v>
      </c>
      <c r="AH9" s="108">
        <f t="shared" si="15"/>
        <v>6.3817354647522848E-2</v>
      </c>
      <c r="AI9" s="107">
        <v>10809</v>
      </c>
      <c r="AJ9" s="108">
        <f t="shared" si="16"/>
        <v>0.45114570724988523</v>
      </c>
      <c r="AK9" s="107">
        <v>442</v>
      </c>
      <c r="AL9" s="108">
        <f t="shared" si="17"/>
        <v>1.8448182311448725E-2</v>
      </c>
      <c r="AM9" s="107">
        <v>7025</v>
      </c>
      <c r="AN9" s="108">
        <f t="shared" si="18"/>
        <v>0.29320923243874952</v>
      </c>
      <c r="AO9" s="107">
        <v>4154</v>
      </c>
      <c r="AP9" s="108">
        <f t="shared" si="19"/>
        <v>0.17337952335239368</v>
      </c>
      <c r="AQ9" s="107">
        <f t="shared" si="20"/>
        <v>44324</v>
      </c>
      <c r="AR9" s="107">
        <f t="shared" si="21"/>
        <v>2763</v>
      </c>
      <c r="AS9" s="108">
        <f t="shared" si="22"/>
        <v>6.2336431729988269E-2</v>
      </c>
      <c r="AT9" s="107">
        <f t="shared" si="23"/>
        <v>23945</v>
      </c>
      <c r="AU9" s="108">
        <f t="shared" si="24"/>
        <v>0.54022651385254039</v>
      </c>
      <c r="AV9" s="107">
        <f t="shared" si="25"/>
        <v>1030</v>
      </c>
      <c r="AW9" s="108">
        <f t="shared" si="26"/>
        <v>2.3237974912011551E-2</v>
      </c>
      <c r="AX9" s="107">
        <f t="shared" si="27"/>
        <v>9270</v>
      </c>
      <c r="AY9" s="108">
        <f t="shared" si="28"/>
        <v>0.20914177420810395</v>
      </c>
      <c r="AZ9" s="107">
        <f t="shared" si="29"/>
        <v>7316</v>
      </c>
      <c r="BA9" s="108">
        <f t="shared" si="30"/>
        <v>0.16505730529735582</v>
      </c>
      <c r="BB9" s="111">
        <v>20041</v>
      </c>
      <c r="BC9" s="111">
        <v>5841</v>
      </c>
      <c r="BD9" s="152">
        <f t="shared" si="31"/>
        <v>0.29145252232922508</v>
      </c>
      <c r="BE9" s="111">
        <v>23462</v>
      </c>
      <c r="BF9" s="111">
        <v>5973</v>
      </c>
      <c r="BG9" s="152">
        <f t="shared" si="0"/>
        <v>0.25458187707782798</v>
      </c>
      <c r="BH9" s="153">
        <f t="shared" si="32"/>
        <v>43503</v>
      </c>
      <c r="BI9" s="153">
        <f t="shared" si="33"/>
        <v>11814</v>
      </c>
      <c r="BJ9" s="154">
        <f t="shared" si="34"/>
        <v>0.27156747810495829</v>
      </c>
      <c r="BK9" s="107">
        <v>44324</v>
      </c>
      <c r="BL9" s="107">
        <v>13782</v>
      </c>
      <c r="BM9" s="108">
        <f t="shared" si="87"/>
        <v>0.31093764100712934</v>
      </c>
      <c r="BN9" s="107">
        <v>20365</v>
      </c>
      <c r="BO9" s="107">
        <v>4796</v>
      </c>
      <c r="BP9" s="108">
        <f t="shared" si="35"/>
        <v>0.23550208691382274</v>
      </c>
      <c r="BQ9" s="107">
        <v>23959</v>
      </c>
      <c r="BR9" s="107">
        <v>8986</v>
      </c>
      <c r="BS9" s="108">
        <f t="shared" si="36"/>
        <v>0.37505738970741681</v>
      </c>
      <c r="BT9" s="113">
        <v>273909</v>
      </c>
      <c r="BU9" s="113">
        <v>47490</v>
      </c>
      <c r="BV9" s="156">
        <f t="shared" si="37"/>
        <v>0.17337874987678389</v>
      </c>
      <c r="BW9" s="156">
        <f t="shared" si="38"/>
        <v>1</v>
      </c>
      <c r="BX9" s="113">
        <v>212413</v>
      </c>
      <c r="BY9" s="113">
        <v>44327</v>
      </c>
      <c r="BZ9" s="156">
        <f t="shared" si="39"/>
        <v>0.20868308436865918</v>
      </c>
      <c r="CA9" s="156">
        <f t="shared" si="40"/>
        <v>0.93339650452726886</v>
      </c>
      <c r="CB9" s="113">
        <v>8315</v>
      </c>
      <c r="CC9" s="113">
        <v>309</v>
      </c>
      <c r="CD9" s="156">
        <f t="shared" si="41"/>
        <v>3.7161755862898375E-2</v>
      </c>
      <c r="CE9" s="156">
        <f t="shared" si="88"/>
        <v>6.5066329753632347E-3</v>
      </c>
      <c r="CF9" s="113">
        <v>6565</v>
      </c>
      <c r="CG9" s="113">
        <v>762</v>
      </c>
      <c r="CH9" s="156">
        <f t="shared" si="42"/>
        <v>0.11607006854531607</v>
      </c>
      <c r="CI9" s="156">
        <f t="shared" si="43"/>
        <v>1.6045483259633606E-2</v>
      </c>
      <c r="CJ9" s="113">
        <v>10647</v>
      </c>
      <c r="CK9" s="113">
        <v>547</v>
      </c>
      <c r="CL9" s="161">
        <f t="shared" si="44"/>
        <v>5.137597445289753E-2</v>
      </c>
      <c r="CM9" s="156">
        <f t="shared" si="45"/>
        <v>1.1518214360918088E-2</v>
      </c>
      <c r="CN9" s="113">
        <v>133</v>
      </c>
      <c r="CO9" s="113">
        <v>16</v>
      </c>
      <c r="CP9" s="161">
        <f t="shared" si="46"/>
        <v>0.12030075187969924</v>
      </c>
      <c r="CQ9" s="156">
        <f t="shared" si="47"/>
        <v>3.369130343230154E-4</v>
      </c>
      <c r="CR9" s="105">
        <v>5458</v>
      </c>
      <c r="CS9" s="105">
        <v>31</v>
      </c>
      <c r="CT9" s="106">
        <f t="shared" si="48"/>
        <v>5.6797361670941739E-3</v>
      </c>
      <c r="CU9" s="106">
        <f t="shared" si="49"/>
        <v>6.5276900400084228E-4</v>
      </c>
      <c r="CV9" s="113">
        <v>6301</v>
      </c>
      <c r="CW9" s="113">
        <v>222</v>
      </c>
      <c r="CX9" s="156">
        <f t="shared" si="50"/>
        <v>3.523250277733693E-2</v>
      </c>
      <c r="CY9" s="156">
        <f t="shared" si="51"/>
        <v>4.6746683512318386E-3</v>
      </c>
      <c r="CZ9" s="113">
        <v>29535</v>
      </c>
      <c r="DA9" s="113">
        <v>1307</v>
      </c>
      <c r="DB9" s="156">
        <f t="shared" si="52"/>
        <v>4.425258168274928E-2</v>
      </c>
      <c r="DC9" s="156">
        <f t="shared" si="89"/>
        <v>2.7521583491261319E-2</v>
      </c>
      <c r="DD9" s="107">
        <v>20365</v>
      </c>
      <c r="DE9" s="107">
        <v>1302</v>
      </c>
      <c r="DF9" s="107">
        <v>6554</v>
      </c>
      <c r="DG9" s="107">
        <v>6209</v>
      </c>
      <c r="DH9" s="107">
        <v>6300</v>
      </c>
      <c r="DI9" s="149">
        <f t="shared" si="53"/>
        <v>6.393321875767248E-2</v>
      </c>
      <c r="DJ9" s="149">
        <f t="shared" si="54"/>
        <v>0.32182666339307636</v>
      </c>
      <c r="DK9" s="149">
        <f t="shared" si="55"/>
        <v>0.61424011784925114</v>
      </c>
      <c r="DL9" s="107">
        <v>23959</v>
      </c>
      <c r="DM9" s="107">
        <v>1399</v>
      </c>
      <c r="DN9" s="107">
        <v>10781</v>
      </c>
      <c r="DO9" s="107">
        <v>6635</v>
      </c>
      <c r="DP9" s="107">
        <v>5144</v>
      </c>
      <c r="DQ9" s="149">
        <f t="shared" si="56"/>
        <v>5.8391418673567341E-2</v>
      </c>
      <c r="DR9" s="149">
        <f t="shared" si="57"/>
        <v>0.44997704411703326</v>
      </c>
      <c r="DS9" s="149">
        <f t="shared" si="58"/>
        <v>0.49163153720939939</v>
      </c>
      <c r="DT9" s="107">
        <f t="shared" si="59"/>
        <v>44324</v>
      </c>
      <c r="DU9" s="107">
        <f t="shared" si="60"/>
        <v>2701</v>
      </c>
      <c r="DV9" s="107">
        <f t="shared" si="61"/>
        <v>17335</v>
      </c>
      <c r="DW9" s="107">
        <f t="shared" si="62"/>
        <v>12844</v>
      </c>
      <c r="DX9" s="107">
        <f t="shared" si="63"/>
        <v>11444</v>
      </c>
      <c r="DY9" s="108">
        <f t="shared" si="64"/>
        <v>6.0937641007129319E-2</v>
      </c>
      <c r="DZ9" s="108">
        <f t="shared" si="65"/>
        <v>0.39109737388322352</v>
      </c>
      <c r="EA9" s="108">
        <f t="shared" si="66"/>
        <v>0.5479649851096472</v>
      </c>
      <c r="EB9" s="107">
        <v>28946</v>
      </c>
      <c r="EC9" s="110">
        <v>2480</v>
      </c>
      <c r="ED9" s="108">
        <f t="shared" si="67"/>
        <v>8.5676777447661168E-2</v>
      </c>
      <c r="EE9" s="107">
        <v>5310</v>
      </c>
      <c r="EF9" s="108">
        <f t="shared" si="67"/>
        <v>0.18344503558350031</v>
      </c>
      <c r="EG9" s="107">
        <v>9006</v>
      </c>
      <c r="EH9" s="108">
        <f t="shared" ref="EH9" si="111">EG9/$EB9</f>
        <v>0.31113107165065984</v>
      </c>
      <c r="EI9" s="107">
        <v>12896</v>
      </c>
      <c r="EJ9" s="108">
        <f t="shared" ref="EJ9" si="112">EI9/$EB9</f>
        <v>0.44551924272783805</v>
      </c>
      <c r="EK9" s="107">
        <v>18340</v>
      </c>
      <c r="EL9" s="108">
        <f t="shared" ref="EL9" si="113">EK9/$EB9</f>
        <v>0.63359358806052646</v>
      </c>
      <c r="EM9" s="107">
        <v>22539</v>
      </c>
      <c r="EN9" s="108">
        <f t="shared" ref="EN9" si="114">EM9/$EB9</f>
        <v>0.77865680923098179</v>
      </c>
      <c r="EO9" s="163">
        <v>79649</v>
      </c>
      <c r="EP9" s="163">
        <v>49858</v>
      </c>
      <c r="EQ9" s="163">
        <v>90857</v>
      </c>
      <c r="ER9" s="163">
        <v>92652</v>
      </c>
      <c r="ES9" s="163">
        <v>57169</v>
      </c>
      <c r="ET9" s="107">
        <v>20041</v>
      </c>
      <c r="EU9" s="107">
        <v>1466</v>
      </c>
      <c r="EV9" s="108">
        <f t="shared" si="72"/>
        <v>7.3150042413053243E-2</v>
      </c>
      <c r="EW9" s="107">
        <v>23462</v>
      </c>
      <c r="EX9" s="107">
        <v>2044</v>
      </c>
      <c r="EY9" s="108">
        <f t="shared" si="73"/>
        <v>8.7119597647259392E-2</v>
      </c>
      <c r="EZ9" s="107">
        <f t="shared" si="74"/>
        <v>43503</v>
      </c>
      <c r="FA9" s="107">
        <f t="shared" si="75"/>
        <v>3510</v>
      </c>
      <c r="FB9" s="108">
        <f t="shared" si="76"/>
        <v>8.0684090752361909E-2</v>
      </c>
      <c r="FC9" s="107">
        <v>43503</v>
      </c>
      <c r="FD9" s="107">
        <v>3510</v>
      </c>
      <c r="FE9" s="108">
        <f t="shared" si="77"/>
        <v>8.0684090752361909E-2</v>
      </c>
      <c r="FF9" s="107">
        <v>6539</v>
      </c>
      <c r="FG9" s="108">
        <f t="shared" si="77"/>
        <v>0.15031147277199275</v>
      </c>
      <c r="FH9" s="107">
        <v>9383</v>
      </c>
      <c r="FI9" s="108">
        <f t="shared" ref="FI9" si="115">FH9/$FC9</f>
        <v>0.21568627450980393</v>
      </c>
      <c r="FJ9" s="107">
        <v>10954</v>
      </c>
      <c r="FK9" s="108">
        <f t="shared" ref="FK9" si="116">FJ9/$FC9</f>
        <v>0.2517987265246075</v>
      </c>
      <c r="FL9" s="107">
        <v>18332</v>
      </c>
      <c r="FM9" s="108">
        <f t="shared" ref="FM9" si="117">FL9/$FC9</f>
        <v>0.42139622554766337</v>
      </c>
      <c r="FN9" s="107">
        <v>3261</v>
      </c>
      <c r="FO9" s="108">
        <v>0.24933098860769171</v>
      </c>
      <c r="FP9" s="107">
        <v>66</v>
      </c>
      <c r="FQ9" s="108">
        <v>5.0462573591253156E-3</v>
      </c>
      <c r="FR9" s="107">
        <v>329</v>
      </c>
      <c r="FS9" s="108">
        <v>4.5155091957178151E-2</v>
      </c>
      <c r="FT9" s="110">
        <v>0</v>
      </c>
      <c r="FU9" s="108">
        <v>0</v>
      </c>
      <c r="FV9" s="107">
        <v>2379</v>
      </c>
      <c r="FW9" s="108">
        <v>0.16812720848056537</v>
      </c>
      <c r="FX9" s="107">
        <v>37</v>
      </c>
      <c r="FY9" s="108">
        <v>2.6148409893992932E-3</v>
      </c>
      <c r="FZ9" s="107">
        <v>579</v>
      </c>
      <c r="GA9" s="108">
        <v>5.9027423794474461E-2</v>
      </c>
      <c r="GB9" s="107">
        <v>0</v>
      </c>
      <c r="GC9" s="108">
        <v>0</v>
      </c>
      <c r="GD9" s="107">
        <v>6548</v>
      </c>
      <c r="GE9" s="117">
        <v>0.14773034924645789</v>
      </c>
      <c r="GF9" s="107">
        <v>103</v>
      </c>
      <c r="GG9" s="117">
        <v>2.3237974912011551E-3</v>
      </c>
      <c r="GH9" s="107">
        <v>28946</v>
      </c>
      <c r="GI9" s="107">
        <v>7917</v>
      </c>
      <c r="GJ9" s="108">
        <f t="shared" si="81"/>
        <v>0.27350929316658606</v>
      </c>
      <c r="GK9" s="107">
        <v>3071</v>
      </c>
      <c r="GL9" s="108">
        <f t="shared" si="82"/>
        <v>0.38789945686497412</v>
      </c>
      <c r="GM9" s="107">
        <v>4345</v>
      </c>
      <c r="GN9" s="108">
        <f t="shared" si="83"/>
        <v>0.54881899709485915</v>
      </c>
      <c r="GO9" s="107">
        <v>21029</v>
      </c>
      <c r="GP9" s="108">
        <f t="shared" si="84"/>
        <v>0.72649070683341399</v>
      </c>
      <c r="GQ9" s="107">
        <v>16581</v>
      </c>
      <c r="GR9" s="108">
        <f t="shared" si="85"/>
        <v>0.78848257168671831</v>
      </c>
      <c r="GS9" s="107">
        <v>4277</v>
      </c>
      <c r="GT9" s="108">
        <f t="shared" si="86"/>
        <v>0.20338580056112987</v>
      </c>
    </row>
    <row r="10" spans="1:202" x14ac:dyDescent="0.25">
      <c r="A10" s="104" t="s">
        <v>182</v>
      </c>
      <c r="B10" s="143">
        <v>13393</v>
      </c>
      <c r="C10" s="143">
        <v>4353</v>
      </c>
      <c r="D10" s="143">
        <v>3218</v>
      </c>
      <c r="E10" s="143">
        <v>1328</v>
      </c>
      <c r="F10" s="143">
        <v>382</v>
      </c>
      <c r="G10" s="144">
        <f t="shared" si="2"/>
        <v>0.32502053311431345</v>
      </c>
      <c r="H10" s="144">
        <f t="shared" si="3"/>
        <v>0.24027477040244904</v>
      </c>
      <c r="I10" s="144">
        <f t="shared" si="4"/>
        <v>9.9156275666392887E-2</v>
      </c>
      <c r="J10" s="144">
        <f t="shared" si="5"/>
        <v>2.85223624281341E-2</v>
      </c>
      <c r="K10" s="143">
        <v>1637</v>
      </c>
      <c r="L10" s="145">
        <f t="shared" si="6"/>
        <v>0.50870105655686759</v>
      </c>
      <c r="M10" s="143">
        <v>1581</v>
      </c>
      <c r="N10" s="145">
        <f t="shared" si="7"/>
        <v>0.49129894344313241</v>
      </c>
      <c r="O10" s="148">
        <v>46.5</v>
      </c>
      <c r="P10" s="107">
        <v>5720</v>
      </c>
      <c r="Q10" s="107">
        <v>2948</v>
      </c>
      <c r="R10" s="108">
        <f t="shared" si="8"/>
        <v>0.51538461538461533</v>
      </c>
      <c r="S10" s="107">
        <v>2293</v>
      </c>
      <c r="T10" s="149">
        <f t="shared" si="9"/>
        <v>0.40087412587412585</v>
      </c>
      <c r="U10" s="143">
        <v>1637</v>
      </c>
      <c r="V10" s="107">
        <v>129</v>
      </c>
      <c r="W10" s="108">
        <f t="shared" si="10"/>
        <v>7.8802687843616367E-2</v>
      </c>
      <c r="X10" s="107">
        <v>1092</v>
      </c>
      <c r="Y10" s="150">
        <f t="shared" si="11"/>
        <v>0.66707391569945018</v>
      </c>
      <c r="Z10" s="107">
        <v>50</v>
      </c>
      <c r="AA10" s="108">
        <f t="shared" si="12"/>
        <v>3.0543677458766034E-2</v>
      </c>
      <c r="AB10" s="107">
        <v>150</v>
      </c>
      <c r="AC10" s="108">
        <f t="shared" si="13"/>
        <v>9.1631032376298105E-2</v>
      </c>
      <c r="AD10" s="107">
        <v>216</v>
      </c>
      <c r="AE10" s="108">
        <f t="shared" si="14"/>
        <v>0.13194868662186926</v>
      </c>
      <c r="AF10" s="107">
        <v>1581</v>
      </c>
      <c r="AG10" s="107">
        <v>45</v>
      </c>
      <c r="AH10" s="108">
        <f t="shared" si="15"/>
        <v>2.8462998102466792E-2</v>
      </c>
      <c r="AI10" s="107">
        <v>751</v>
      </c>
      <c r="AJ10" s="108">
        <f t="shared" si="16"/>
        <v>0.47501581277672361</v>
      </c>
      <c r="AK10" s="107">
        <v>43</v>
      </c>
      <c r="AL10" s="108">
        <f t="shared" si="17"/>
        <v>2.7197975964579381E-2</v>
      </c>
      <c r="AM10" s="107">
        <v>493</v>
      </c>
      <c r="AN10" s="108">
        <f t="shared" si="18"/>
        <v>0.31182795698924731</v>
      </c>
      <c r="AO10" s="107">
        <v>249</v>
      </c>
      <c r="AP10" s="108">
        <f t="shared" si="19"/>
        <v>0.15749525616698293</v>
      </c>
      <c r="AQ10" s="107">
        <f t="shared" si="20"/>
        <v>3218</v>
      </c>
      <c r="AR10" s="107">
        <f t="shared" si="21"/>
        <v>174</v>
      </c>
      <c r="AS10" s="108">
        <f t="shared" si="22"/>
        <v>5.4070851460534496E-2</v>
      </c>
      <c r="AT10" s="107">
        <f t="shared" si="23"/>
        <v>1843</v>
      </c>
      <c r="AU10" s="108">
        <f t="shared" si="24"/>
        <v>0.57271597265382224</v>
      </c>
      <c r="AV10" s="107">
        <f t="shared" si="25"/>
        <v>93</v>
      </c>
      <c r="AW10" s="108">
        <f t="shared" si="26"/>
        <v>2.8899937849596023E-2</v>
      </c>
      <c r="AX10" s="107">
        <f t="shared" si="27"/>
        <v>643</v>
      </c>
      <c r="AY10" s="108">
        <f t="shared" si="28"/>
        <v>0.19981354878806712</v>
      </c>
      <c r="AZ10" s="107">
        <f t="shared" si="29"/>
        <v>465</v>
      </c>
      <c r="BA10" s="108">
        <f t="shared" si="30"/>
        <v>0.14449968924798012</v>
      </c>
      <c r="BB10" s="111">
        <v>1628</v>
      </c>
      <c r="BC10" s="111">
        <v>594</v>
      </c>
      <c r="BD10" s="152">
        <f t="shared" si="31"/>
        <v>0.36486486486486486</v>
      </c>
      <c r="BE10" s="111">
        <v>1567</v>
      </c>
      <c r="BF10" s="111">
        <v>442</v>
      </c>
      <c r="BG10" s="152">
        <f t="shared" si="0"/>
        <v>0.28206764518187621</v>
      </c>
      <c r="BH10" s="153">
        <f t="shared" si="32"/>
        <v>3195</v>
      </c>
      <c r="BI10" s="153">
        <f t="shared" si="33"/>
        <v>1036</v>
      </c>
      <c r="BJ10" s="154">
        <f t="shared" si="34"/>
        <v>0.3242566510172144</v>
      </c>
      <c r="BK10" s="107">
        <v>3218</v>
      </c>
      <c r="BL10" s="107">
        <v>979</v>
      </c>
      <c r="BM10" s="108">
        <f t="shared" si="87"/>
        <v>0.30422622747047856</v>
      </c>
      <c r="BN10" s="107">
        <v>1637</v>
      </c>
      <c r="BO10" s="107">
        <v>381</v>
      </c>
      <c r="BP10" s="108">
        <f t="shared" si="35"/>
        <v>0.2327428222357972</v>
      </c>
      <c r="BQ10" s="107">
        <v>1581</v>
      </c>
      <c r="BR10" s="107">
        <v>598</v>
      </c>
      <c r="BS10" s="108">
        <f t="shared" si="36"/>
        <v>0.37824161922833649</v>
      </c>
      <c r="BT10" s="113">
        <v>13464</v>
      </c>
      <c r="BU10" s="113">
        <v>3434</v>
      </c>
      <c r="BV10" s="156">
        <f t="shared" si="37"/>
        <v>0.25505050505050503</v>
      </c>
      <c r="BW10" s="156">
        <f t="shared" si="38"/>
        <v>1</v>
      </c>
      <c r="BX10" s="113">
        <v>12699</v>
      </c>
      <c r="BY10" s="113">
        <v>3369</v>
      </c>
      <c r="BZ10" s="156">
        <f t="shared" si="39"/>
        <v>0.26529648003779827</v>
      </c>
      <c r="CA10" s="156">
        <f t="shared" si="40"/>
        <v>0.98107163657542229</v>
      </c>
      <c r="CB10" s="113">
        <v>77</v>
      </c>
      <c r="CC10" s="113">
        <v>5</v>
      </c>
      <c r="CD10" s="156">
        <f t="shared" si="41"/>
        <v>6.4935064935064929E-2</v>
      </c>
      <c r="CE10" s="156">
        <f t="shared" si="88"/>
        <v>1.4560279557367501E-3</v>
      </c>
      <c r="CF10" s="113">
        <v>54</v>
      </c>
      <c r="CG10" s="113">
        <v>7</v>
      </c>
      <c r="CH10" s="156">
        <f t="shared" si="42"/>
        <v>0.12962962962962962</v>
      </c>
      <c r="CI10" s="156">
        <f t="shared" si="43"/>
        <v>2.0384391380314504E-3</v>
      </c>
      <c r="CJ10" s="113">
        <v>58</v>
      </c>
      <c r="CK10" s="113">
        <v>5</v>
      </c>
      <c r="CL10" s="161">
        <f t="shared" si="44"/>
        <v>8.6206896551724144E-2</v>
      </c>
      <c r="CM10" s="156">
        <f t="shared" si="45"/>
        <v>1.4560279557367501E-3</v>
      </c>
      <c r="CN10" s="113">
        <v>0</v>
      </c>
      <c r="CO10" s="113">
        <v>0</v>
      </c>
      <c r="CP10" s="161">
        <v>0</v>
      </c>
      <c r="CQ10" s="156">
        <f t="shared" si="47"/>
        <v>0</v>
      </c>
      <c r="CR10" s="105">
        <v>132</v>
      </c>
      <c r="CS10" s="105">
        <v>0</v>
      </c>
      <c r="CT10" s="106">
        <f t="shared" si="48"/>
        <v>0</v>
      </c>
      <c r="CU10" s="106">
        <f t="shared" si="49"/>
        <v>0</v>
      </c>
      <c r="CV10" s="113">
        <v>149</v>
      </c>
      <c r="CW10" s="113">
        <v>25</v>
      </c>
      <c r="CX10" s="156">
        <f t="shared" si="50"/>
        <v>0.16778523489932887</v>
      </c>
      <c r="CY10" s="156">
        <f t="shared" si="51"/>
        <v>7.2801397786837509E-3</v>
      </c>
      <c r="CZ10" s="113">
        <v>427</v>
      </c>
      <c r="DA10" s="113">
        <v>23</v>
      </c>
      <c r="DB10" s="156">
        <f t="shared" si="52"/>
        <v>5.3864168618266976E-2</v>
      </c>
      <c r="DC10" s="156">
        <f t="shared" si="89"/>
        <v>6.697728596389051E-3</v>
      </c>
      <c r="DD10" s="107">
        <v>1637</v>
      </c>
      <c r="DE10" s="107">
        <v>202</v>
      </c>
      <c r="DF10" s="107">
        <v>721</v>
      </c>
      <c r="DG10" s="107">
        <v>383</v>
      </c>
      <c r="DH10" s="107">
        <v>331</v>
      </c>
      <c r="DI10" s="149">
        <f t="shared" si="53"/>
        <v>0.12339645693341478</v>
      </c>
      <c r="DJ10" s="149">
        <f t="shared" si="54"/>
        <v>0.44043982895540623</v>
      </c>
      <c r="DK10" s="149">
        <f t="shared" si="55"/>
        <v>0.43616371411117899</v>
      </c>
      <c r="DL10" s="107">
        <v>1581</v>
      </c>
      <c r="DM10" s="107">
        <v>175</v>
      </c>
      <c r="DN10" s="107">
        <v>664</v>
      </c>
      <c r="DO10" s="107">
        <v>365</v>
      </c>
      <c r="DP10" s="107">
        <v>377</v>
      </c>
      <c r="DQ10" s="149">
        <f t="shared" si="56"/>
        <v>0.11068943706514864</v>
      </c>
      <c r="DR10" s="149">
        <f t="shared" si="57"/>
        <v>0.41998734977862112</v>
      </c>
      <c r="DS10" s="149">
        <f t="shared" si="58"/>
        <v>0.46932321315623021</v>
      </c>
      <c r="DT10" s="107">
        <f t="shared" si="59"/>
        <v>3218</v>
      </c>
      <c r="DU10" s="107">
        <f t="shared" si="60"/>
        <v>377</v>
      </c>
      <c r="DV10" s="107">
        <f t="shared" si="61"/>
        <v>1385</v>
      </c>
      <c r="DW10" s="107">
        <f t="shared" si="62"/>
        <v>748</v>
      </c>
      <c r="DX10" s="107">
        <f t="shared" si="63"/>
        <v>708</v>
      </c>
      <c r="DY10" s="108">
        <f t="shared" si="64"/>
        <v>0.11715351149782474</v>
      </c>
      <c r="DZ10" s="108">
        <f t="shared" si="65"/>
        <v>0.43039154754505904</v>
      </c>
      <c r="EA10" s="108">
        <f t="shared" si="66"/>
        <v>0.45245494095711625</v>
      </c>
      <c r="EB10" s="107">
        <v>2080</v>
      </c>
      <c r="EC10" s="110">
        <v>230</v>
      </c>
      <c r="ED10" s="108">
        <f t="shared" si="67"/>
        <v>0.11057692307692307</v>
      </c>
      <c r="EE10" s="107">
        <v>523</v>
      </c>
      <c r="EF10" s="108">
        <f t="shared" si="67"/>
        <v>0.25144230769230769</v>
      </c>
      <c r="EG10" s="107">
        <v>779</v>
      </c>
      <c r="EH10" s="108">
        <f t="shared" ref="EH10" si="118">EG10/$EB10</f>
        <v>0.37451923076923077</v>
      </c>
      <c r="EI10" s="107">
        <v>1101</v>
      </c>
      <c r="EJ10" s="108">
        <f t="shared" ref="EJ10" si="119">EI10/$EB10</f>
        <v>0.52932692307692308</v>
      </c>
      <c r="EK10" s="107">
        <v>1525</v>
      </c>
      <c r="EL10" s="108">
        <f t="shared" ref="EL10" si="120">EK10/$EB10</f>
        <v>0.73317307692307687</v>
      </c>
      <c r="EM10" s="107">
        <v>1771</v>
      </c>
      <c r="EN10" s="108">
        <f t="shared" ref="EN10" si="121">EM10/$EB10</f>
        <v>0.85144230769230766</v>
      </c>
      <c r="EO10" s="163">
        <v>70479</v>
      </c>
      <c r="EP10" s="163">
        <v>44821</v>
      </c>
      <c r="EQ10" s="163">
        <v>86216</v>
      </c>
      <c r="ER10" s="163">
        <v>96181</v>
      </c>
      <c r="ES10" s="163">
        <v>46625</v>
      </c>
      <c r="ET10" s="107">
        <v>1628</v>
      </c>
      <c r="EU10" s="107">
        <v>120</v>
      </c>
      <c r="EV10" s="108">
        <f t="shared" si="72"/>
        <v>7.3710073710073709E-2</v>
      </c>
      <c r="EW10" s="107">
        <v>1567</v>
      </c>
      <c r="EX10" s="107">
        <v>222</v>
      </c>
      <c r="EY10" s="108">
        <f t="shared" si="73"/>
        <v>0.14167198468410977</v>
      </c>
      <c r="EZ10" s="107">
        <f t="shared" si="74"/>
        <v>3195</v>
      </c>
      <c r="FA10" s="107">
        <f t="shared" si="75"/>
        <v>342</v>
      </c>
      <c r="FB10" s="108">
        <f t="shared" si="76"/>
        <v>0.10704225352112676</v>
      </c>
      <c r="FC10" s="107">
        <v>3195</v>
      </c>
      <c r="FD10" s="107">
        <v>342</v>
      </c>
      <c r="FE10" s="108">
        <f t="shared" si="77"/>
        <v>0.10704225352112676</v>
      </c>
      <c r="FF10" s="107">
        <v>680</v>
      </c>
      <c r="FG10" s="108">
        <f t="shared" si="77"/>
        <v>0.21283255086071987</v>
      </c>
      <c r="FH10" s="107">
        <v>944</v>
      </c>
      <c r="FI10" s="108">
        <f t="shared" ref="FI10" si="122">FH10/$FC10</f>
        <v>0.29546165884194053</v>
      </c>
      <c r="FJ10" s="107">
        <v>1058</v>
      </c>
      <c r="FK10" s="108">
        <f t="shared" ref="FK10" si="123">FJ10/$FC10</f>
        <v>0.33114241001564948</v>
      </c>
      <c r="FL10" s="107">
        <v>1674</v>
      </c>
      <c r="FM10" s="108">
        <f t="shared" ref="FM10" si="124">FL10/$FC10</f>
        <v>0.52394366197183095</v>
      </c>
      <c r="FN10" s="107">
        <v>319</v>
      </c>
      <c r="FO10" s="108">
        <v>0.3149062191510365</v>
      </c>
      <c r="FP10" s="107">
        <v>24</v>
      </c>
      <c r="FQ10" s="108">
        <v>2.3692003948667325E-2</v>
      </c>
      <c r="FR10" s="107">
        <v>75</v>
      </c>
      <c r="FS10" s="108">
        <v>0.1201923076923077</v>
      </c>
      <c r="FT10" s="110">
        <v>0</v>
      </c>
      <c r="FU10" s="108">
        <v>0</v>
      </c>
      <c r="FV10" s="107">
        <v>162</v>
      </c>
      <c r="FW10" s="108">
        <v>0.1847206385404789</v>
      </c>
      <c r="FX10" s="107">
        <v>12</v>
      </c>
      <c r="FY10" s="108">
        <v>1.3683010262257697E-2</v>
      </c>
      <c r="FZ10" s="107">
        <v>32</v>
      </c>
      <c r="GA10" s="108">
        <v>4.5454545454545456E-2</v>
      </c>
      <c r="GB10" s="107">
        <v>0</v>
      </c>
      <c r="GC10" s="108">
        <v>0</v>
      </c>
      <c r="GD10" s="107">
        <v>588</v>
      </c>
      <c r="GE10" s="117">
        <v>0.18272218769422002</v>
      </c>
      <c r="GF10" s="107">
        <v>36</v>
      </c>
      <c r="GG10" s="117">
        <v>1.1187072715972654E-2</v>
      </c>
      <c r="GH10" s="107">
        <v>2080</v>
      </c>
      <c r="GI10" s="107">
        <v>422</v>
      </c>
      <c r="GJ10" s="108">
        <f t="shared" si="81"/>
        <v>0.20288461538461539</v>
      </c>
      <c r="GK10" s="107">
        <v>191</v>
      </c>
      <c r="GL10" s="108">
        <f t="shared" si="82"/>
        <v>0.45260663507109006</v>
      </c>
      <c r="GM10" s="107">
        <v>148</v>
      </c>
      <c r="GN10" s="108">
        <f t="shared" si="83"/>
        <v>0.35071090047393366</v>
      </c>
      <c r="GO10" s="107">
        <v>1658</v>
      </c>
      <c r="GP10" s="108">
        <f t="shared" si="84"/>
        <v>0.79711538461538467</v>
      </c>
      <c r="GQ10" s="107">
        <v>1147</v>
      </c>
      <c r="GR10" s="108">
        <f t="shared" si="85"/>
        <v>0.69179734620024125</v>
      </c>
      <c r="GS10" s="107">
        <v>496</v>
      </c>
      <c r="GT10" s="108">
        <f t="shared" si="86"/>
        <v>0.29915560916767192</v>
      </c>
    </row>
    <row r="11" spans="1:202" x14ac:dyDescent="0.25">
      <c r="A11" s="104" t="s">
        <v>183</v>
      </c>
      <c r="B11" s="143">
        <v>16916</v>
      </c>
      <c r="C11" s="143">
        <v>7320</v>
      </c>
      <c r="D11" s="143">
        <v>5460</v>
      </c>
      <c r="E11" s="143">
        <v>2033</v>
      </c>
      <c r="F11" s="143">
        <v>516</v>
      </c>
      <c r="G11" s="144">
        <f t="shared" si="2"/>
        <v>0.43272641286356112</v>
      </c>
      <c r="H11" s="144">
        <f t="shared" si="3"/>
        <v>0.32277134074249231</v>
      </c>
      <c r="I11" s="144">
        <f t="shared" si="4"/>
        <v>0.12018207614093167</v>
      </c>
      <c r="J11" s="144">
        <f t="shared" si="5"/>
        <v>3.0503665169070701E-2</v>
      </c>
      <c r="K11" s="143">
        <v>2804</v>
      </c>
      <c r="L11" s="145">
        <f t="shared" si="6"/>
        <v>0.5135531135531135</v>
      </c>
      <c r="M11" s="143">
        <v>2656</v>
      </c>
      <c r="N11" s="145">
        <f t="shared" si="7"/>
        <v>0.48644688644688644</v>
      </c>
      <c r="O11" s="148">
        <v>56</v>
      </c>
      <c r="P11" s="107">
        <v>7188</v>
      </c>
      <c r="Q11" s="107">
        <v>4678</v>
      </c>
      <c r="R11" s="108">
        <f t="shared" si="8"/>
        <v>0.65080690038953815</v>
      </c>
      <c r="S11" s="107">
        <v>3674</v>
      </c>
      <c r="T11" s="149">
        <f t="shared" si="9"/>
        <v>0.51112966054535336</v>
      </c>
      <c r="U11" s="143">
        <v>2804</v>
      </c>
      <c r="V11" s="107">
        <v>196</v>
      </c>
      <c r="W11" s="108">
        <f t="shared" si="10"/>
        <v>6.9900142653352357E-2</v>
      </c>
      <c r="X11" s="107">
        <v>1693</v>
      </c>
      <c r="Y11" s="150">
        <f t="shared" si="11"/>
        <v>0.60378031383737518</v>
      </c>
      <c r="Z11" s="107">
        <v>117</v>
      </c>
      <c r="AA11" s="108">
        <f t="shared" si="12"/>
        <v>4.1726105563480741E-2</v>
      </c>
      <c r="AB11" s="107">
        <v>295</v>
      </c>
      <c r="AC11" s="108">
        <f t="shared" si="13"/>
        <v>0.10520684736091299</v>
      </c>
      <c r="AD11" s="107">
        <v>503</v>
      </c>
      <c r="AE11" s="108">
        <f t="shared" si="14"/>
        <v>0.17938659058487874</v>
      </c>
      <c r="AF11" s="107">
        <v>2656</v>
      </c>
      <c r="AG11" s="107">
        <v>128</v>
      </c>
      <c r="AH11" s="108">
        <f t="shared" si="15"/>
        <v>4.8192771084337352E-2</v>
      </c>
      <c r="AI11" s="107">
        <v>1514</v>
      </c>
      <c r="AJ11" s="108">
        <f t="shared" si="16"/>
        <v>0.57003012048192769</v>
      </c>
      <c r="AK11" s="107">
        <v>33</v>
      </c>
      <c r="AL11" s="108">
        <f t="shared" si="17"/>
        <v>1.2424698795180723E-2</v>
      </c>
      <c r="AM11" s="107">
        <v>631</v>
      </c>
      <c r="AN11" s="108">
        <f t="shared" si="18"/>
        <v>0.23757530120481929</v>
      </c>
      <c r="AO11" s="107">
        <v>350</v>
      </c>
      <c r="AP11" s="108">
        <f t="shared" si="19"/>
        <v>0.13177710843373494</v>
      </c>
      <c r="AQ11" s="107">
        <f t="shared" si="20"/>
        <v>5460</v>
      </c>
      <c r="AR11" s="107">
        <f t="shared" si="21"/>
        <v>324</v>
      </c>
      <c r="AS11" s="108">
        <f t="shared" si="22"/>
        <v>5.9340659340659338E-2</v>
      </c>
      <c r="AT11" s="107">
        <f t="shared" si="23"/>
        <v>3207</v>
      </c>
      <c r="AU11" s="108">
        <f t="shared" si="24"/>
        <v>0.58736263736263739</v>
      </c>
      <c r="AV11" s="107">
        <f t="shared" si="25"/>
        <v>150</v>
      </c>
      <c r="AW11" s="108">
        <f t="shared" si="26"/>
        <v>2.7472527472527472E-2</v>
      </c>
      <c r="AX11" s="107">
        <f t="shared" si="27"/>
        <v>926</v>
      </c>
      <c r="AY11" s="108">
        <f t="shared" si="28"/>
        <v>0.16959706959706961</v>
      </c>
      <c r="AZ11" s="107">
        <f t="shared" si="29"/>
        <v>853</v>
      </c>
      <c r="BA11" s="108">
        <f t="shared" si="30"/>
        <v>0.15622710622710623</v>
      </c>
      <c r="BB11" s="111">
        <v>2794</v>
      </c>
      <c r="BC11" s="111">
        <v>900</v>
      </c>
      <c r="BD11" s="152">
        <f t="shared" si="31"/>
        <v>0.32211882605583392</v>
      </c>
      <c r="BE11" s="111">
        <v>2617</v>
      </c>
      <c r="BF11" s="111">
        <v>735</v>
      </c>
      <c r="BG11" s="152">
        <f t="shared" si="0"/>
        <v>0.28085594191822699</v>
      </c>
      <c r="BH11" s="153">
        <f t="shared" si="32"/>
        <v>5411</v>
      </c>
      <c r="BI11" s="153">
        <f t="shared" si="33"/>
        <v>1635</v>
      </c>
      <c r="BJ11" s="154">
        <f t="shared" si="34"/>
        <v>0.30216226205876917</v>
      </c>
      <c r="BK11" s="107">
        <v>5460</v>
      </c>
      <c r="BL11" s="107">
        <v>1436</v>
      </c>
      <c r="BM11" s="108">
        <f t="shared" si="87"/>
        <v>0.26300366300366301</v>
      </c>
      <c r="BN11" s="107">
        <v>2804</v>
      </c>
      <c r="BO11" s="107">
        <v>724</v>
      </c>
      <c r="BP11" s="108">
        <f t="shared" si="35"/>
        <v>0.25820256776034239</v>
      </c>
      <c r="BQ11" s="107">
        <v>2656</v>
      </c>
      <c r="BR11" s="107">
        <v>712</v>
      </c>
      <c r="BS11" s="108">
        <f t="shared" si="36"/>
        <v>0.26807228915662651</v>
      </c>
      <c r="BT11" s="113">
        <v>17187</v>
      </c>
      <c r="BU11" s="113">
        <v>5899</v>
      </c>
      <c r="BV11" s="156">
        <f t="shared" si="37"/>
        <v>0.34322453016815035</v>
      </c>
      <c r="BW11" s="156">
        <f t="shared" si="38"/>
        <v>1</v>
      </c>
      <c r="BX11" s="113">
        <v>15579</v>
      </c>
      <c r="BY11" s="113">
        <v>5617</v>
      </c>
      <c r="BZ11" s="156">
        <f t="shared" si="39"/>
        <v>0.3605494576031838</v>
      </c>
      <c r="CA11" s="156">
        <f t="shared" si="40"/>
        <v>0.95219528733683678</v>
      </c>
      <c r="CB11" s="113">
        <v>138</v>
      </c>
      <c r="CC11" s="113">
        <v>22</v>
      </c>
      <c r="CD11" s="156">
        <f t="shared" si="41"/>
        <v>0.15942028985507245</v>
      </c>
      <c r="CE11" s="156">
        <f t="shared" si="88"/>
        <v>3.7294456687574167E-3</v>
      </c>
      <c r="CF11" s="113">
        <v>644</v>
      </c>
      <c r="CG11" s="113">
        <v>141</v>
      </c>
      <c r="CH11" s="156">
        <f t="shared" si="42"/>
        <v>0.21894409937888198</v>
      </c>
      <c r="CI11" s="156">
        <f t="shared" si="43"/>
        <v>2.3902356331581623E-2</v>
      </c>
      <c r="CJ11" s="113">
        <v>86</v>
      </c>
      <c r="CK11" s="113">
        <v>17</v>
      </c>
      <c r="CL11" s="161">
        <f t="shared" si="44"/>
        <v>0.19767441860465115</v>
      </c>
      <c r="CM11" s="156">
        <f t="shared" si="45"/>
        <v>2.881844380403458E-3</v>
      </c>
      <c r="CN11" s="113">
        <v>9</v>
      </c>
      <c r="CO11" s="113">
        <v>2</v>
      </c>
      <c r="CP11" s="161">
        <f t="shared" si="46"/>
        <v>0.22222222222222221</v>
      </c>
      <c r="CQ11" s="156">
        <f t="shared" si="47"/>
        <v>3.390405153415833E-4</v>
      </c>
      <c r="CR11" s="105">
        <v>43</v>
      </c>
      <c r="CS11" s="105">
        <v>1</v>
      </c>
      <c r="CT11" s="106">
        <f t="shared" si="48"/>
        <v>2.3255813953488372E-2</v>
      </c>
      <c r="CU11" s="106">
        <f t="shared" si="49"/>
        <v>1.6952025767079165E-4</v>
      </c>
      <c r="CV11" s="113">
        <v>377</v>
      </c>
      <c r="CW11" s="113">
        <v>66</v>
      </c>
      <c r="CX11" s="156">
        <f t="shared" si="50"/>
        <v>0.17506631299734748</v>
      </c>
      <c r="CY11" s="156">
        <f t="shared" si="51"/>
        <v>1.118833700627225E-2</v>
      </c>
      <c r="CZ11" s="113">
        <v>354</v>
      </c>
      <c r="DA11" s="113">
        <v>34</v>
      </c>
      <c r="DB11" s="156">
        <f t="shared" si="52"/>
        <v>9.6045197740112997E-2</v>
      </c>
      <c r="DC11" s="156">
        <f t="shared" si="89"/>
        <v>5.763688760806916E-3</v>
      </c>
      <c r="DD11" s="107">
        <v>2804</v>
      </c>
      <c r="DE11" s="107">
        <v>254</v>
      </c>
      <c r="DF11" s="107">
        <v>989</v>
      </c>
      <c r="DG11" s="107">
        <v>851</v>
      </c>
      <c r="DH11" s="107">
        <v>710</v>
      </c>
      <c r="DI11" s="149">
        <f t="shared" si="53"/>
        <v>9.0584878744650502E-2</v>
      </c>
      <c r="DJ11" s="149">
        <f t="shared" si="54"/>
        <v>0.35271041369472184</v>
      </c>
      <c r="DK11" s="149">
        <f t="shared" si="55"/>
        <v>0.55670470756062762</v>
      </c>
      <c r="DL11" s="107">
        <v>2656</v>
      </c>
      <c r="DM11" s="107">
        <v>140</v>
      </c>
      <c r="DN11" s="107">
        <v>1196</v>
      </c>
      <c r="DO11" s="107">
        <v>812</v>
      </c>
      <c r="DP11" s="107">
        <v>508</v>
      </c>
      <c r="DQ11" s="149">
        <f t="shared" si="56"/>
        <v>5.2710843373493979E-2</v>
      </c>
      <c r="DR11" s="149">
        <f t="shared" si="57"/>
        <v>0.4503012048192771</v>
      </c>
      <c r="DS11" s="149">
        <f t="shared" si="58"/>
        <v>0.49698795180722893</v>
      </c>
      <c r="DT11" s="107">
        <f t="shared" si="59"/>
        <v>5460</v>
      </c>
      <c r="DU11" s="107">
        <f t="shared" si="60"/>
        <v>394</v>
      </c>
      <c r="DV11" s="107">
        <f t="shared" si="61"/>
        <v>2185</v>
      </c>
      <c r="DW11" s="107">
        <f t="shared" si="62"/>
        <v>1663</v>
      </c>
      <c r="DX11" s="107">
        <f t="shared" si="63"/>
        <v>1218</v>
      </c>
      <c r="DY11" s="108">
        <f t="shared" si="64"/>
        <v>7.2161172161172155E-2</v>
      </c>
      <c r="DZ11" s="108">
        <f t="shared" si="65"/>
        <v>0.4001831501831502</v>
      </c>
      <c r="EA11" s="108">
        <f t="shared" si="66"/>
        <v>0.52765567765567767</v>
      </c>
      <c r="EB11" s="107">
        <v>3371</v>
      </c>
      <c r="EC11" s="110">
        <v>363</v>
      </c>
      <c r="ED11" s="108">
        <f t="shared" si="67"/>
        <v>0.10768318006526253</v>
      </c>
      <c r="EE11" s="107">
        <v>698</v>
      </c>
      <c r="EF11" s="108">
        <f t="shared" si="67"/>
        <v>0.20706021951943043</v>
      </c>
      <c r="EG11" s="107">
        <v>1126</v>
      </c>
      <c r="EH11" s="108">
        <f t="shared" ref="EH11" si="125">EG11/$EB11</f>
        <v>0.33402551171759121</v>
      </c>
      <c r="EI11" s="107">
        <v>1544</v>
      </c>
      <c r="EJ11" s="108">
        <f t="shared" ref="EJ11" si="126">EI11/$EB11</f>
        <v>0.45802432512607533</v>
      </c>
      <c r="EK11" s="107">
        <v>2341</v>
      </c>
      <c r="EL11" s="108">
        <f t="shared" ref="EL11" si="127">EK11/$EB11</f>
        <v>0.69445268466330468</v>
      </c>
      <c r="EM11" s="107">
        <v>2720</v>
      </c>
      <c r="EN11" s="108">
        <f t="shared" ref="EN11" si="128">EM11/$EB11</f>
        <v>0.80688223079204979</v>
      </c>
      <c r="EO11" s="163">
        <v>62819</v>
      </c>
      <c r="EP11" s="163">
        <v>51250</v>
      </c>
      <c r="EQ11" s="163">
        <v>87500</v>
      </c>
      <c r="ER11" s="163">
        <v>71550</v>
      </c>
      <c r="ES11" s="163">
        <v>53472</v>
      </c>
      <c r="ET11" s="107">
        <v>2794</v>
      </c>
      <c r="EU11" s="107">
        <v>292</v>
      </c>
      <c r="EV11" s="108">
        <f t="shared" si="72"/>
        <v>0.10450966356478167</v>
      </c>
      <c r="EW11" s="107">
        <v>2617</v>
      </c>
      <c r="EX11" s="107">
        <v>305</v>
      </c>
      <c r="EY11" s="108">
        <f t="shared" si="73"/>
        <v>0.1165456629728697</v>
      </c>
      <c r="EZ11" s="107">
        <f t="shared" si="74"/>
        <v>5411</v>
      </c>
      <c r="FA11" s="107">
        <f t="shared" si="75"/>
        <v>597</v>
      </c>
      <c r="FB11" s="108">
        <f t="shared" si="76"/>
        <v>0.11033080761411938</v>
      </c>
      <c r="FC11" s="107">
        <v>5411</v>
      </c>
      <c r="FD11" s="107">
        <v>597</v>
      </c>
      <c r="FE11" s="108">
        <f t="shared" si="77"/>
        <v>0.11033080761411938</v>
      </c>
      <c r="FF11" s="107">
        <v>946</v>
      </c>
      <c r="FG11" s="108">
        <f t="shared" si="77"/>
        <v>0.17482905193125114</v>
      </c>
      <c r="FH11" s="107">
        <v>1348</v>
      </c>
      <c r="FI11" s="108">
        <f t="shared" ref="FI11" si="129">FH11/$FC11</f>
        <v>0.24912215856588432</v>
      </c>
      <c r="FJ11" s="107">
        <v>1465</v>
      </c>
      <c r="FK11" s="108">
        <f t="shared" ref="FK11" si="130">FJ11/$FC11</f>
        <v>0.27074477915357603</v>
      </c>
      <c r="FL11" s="107">
        <v>2521</v>
      </c>
      <c r="FM11" s="108">
        <f t="shared" ref="FM11" si="131">FL11/$FC11</f>
        <v>0.46590279061171685</v>
      </c>
      <c r="FN11" s="107">
        <v>323</v>
      </c>
      <c r="FO11" s="108">
        <v>0.18074986010072747</v>
      </c>
      <c r="FP11" s="107">
        <v>6</v>
      </c>
      <c r="FQ11" s="108">
        <v>3.3575825405707891E-3</v>
      </c>
      <c r="FR11" s="107">
        <v>58</v>
      </c>
      <c r="FS11" s="108">
        <v>5.7030481809242868E-2</v>
      </c>
      <c r="FT11" s="110">
        <v>2</v>
      </c>
      <c r="FU11" s="108">
        <v>1.9665683382497543E-3</v>
      </c>
      <c r="FV11" s="107">
        <v>303</v>
      </c>
      <c r="FW11" s="108">
        <v>0.18475609756097561</v>
      </c>
      <c r="FX11" s="107">
        <v>0</v>
      </c>
      <c r="FY11" s="108">
        <v>0</v>
      </c>
      <c r="FZ11" s="107">
        <v>51</v>
      </c>
      <c r="GA11" s="108">
        <v>5.0196850393700788E-2</v>
      </c>
      <c r="GB11" s="107">
        <v>0</v>
      </c>
      <c r="GC11" s="108">
        <v>0</v>
      </c>
      <c r="GD11" s="107">
        <v>735</v>
      </c>
      <c r="GE11" s="117">
        <v>0.13461538461538461</v>
      </c>
      <c r="GF11" s="107">
        <v>8</v>
      </c>
      <c r="GG11" s="117">
        <v>1.4652014652014652E-3</v>
      </c>
      <c r="GH11" s="107">
        <v>3371</v>
      </c>
      <c r="GI11" s="107">
        <v>448</v>
      </c>
      <c r="GJ11" s="108">
        <f t="shared" si="81"/>
        <v>0.13289824977751408</v>
      </c>
      <c r="GK11" s="107">
        <v>176</v>
      </c>
      <c r="GL11" s="108">
        <f t="shared" si="82"/>
        <v>0.39285714285714285</v>
      </c>
      <c r="GM11" s="107">
        <v>147</v>
      </c>
      <c r="GN11" s="108">
        <f t="shared" si="83"/>
        <v>0.328125</v>
      </c>
      <c r="GO11" s="107">
        <v>2923</v>
      </c>
      <c r="GP11" s="108">
        <f t="shared" si="84"/>
        <v>0.86710175022248592</v>
      </c>
      <c r="GQ11" s="107">
        <v>2300</v>
      </c>
      <c r="GR11" s="108">
        <f t="shared" si="85"/>
        <v>0.7868628121792679</v>
      </c>
      <c r="GS11" s="107">
        <v>590</v>
      </c>
      <c r="GT11" s="108">
        <f t="shared" si="86"/>
        <v>0.20184741703729045</v>
      </c>
    </row>
    <row r="12" spans="1:202" x14ac:dyDescent="0.25">
      <c r="A12" s="104" t="s">
        <v>184</v>
      </c>
      <c r="B12" s="143">
        <v>52942</v>
      </c>
      <c r="C12" s="143">
        <v>12889</v>
      </c>
      <c r="D12" s="143">
        <v>9104</v>
      </c>
      <c r="E12" s="143">
        <v>3407</v>
      </c>
      <c r="F12" s="143">
        <v>885</v>
      </c>
      <c r="G12" s="144">
        <f t="shared" si="2"/>
        <v>0.2434551018095274</v>
      </c>
      <c r="H12" s="144">
        <f t="shared" si="3"/>
        <v>0.17196176948358582</v>
      </c>
      <c r="I12" s="144">
        <f t="shared" si="4"/>
        <v>6.4353443390880588E-2</v>
      </c>
      <c r="J12" s="144">
        <f t="shared" si="5"/>
        <v>1.6716406633674588E-2</v>
      </c>
      <c r="K12" s="143">
        <v>4298</v>
      </c>
      <c r="L12" s="145">
        <f t="shared" si="6"/>
        <v>0.47210017574692442</v>
      </c>
      <c r="M12" s="143">
        <v>4806</v>
      </c>
      <c r="N12" s="145">
        <f t="shared" si="7"/>
        <v>0.52789982425307558</v>
      </c>
      <c r="O12" s="148">
        <v>41.7</v>
      </c>
      <c r="P12" s="107">
        <v>21372</v>
      </c>
      <c r="Q12" s="107">
        <v>8792</v>
      </c>
      <c r="R12" s="108">
        <f t="shared" si="8"/>
        <v>0.41137937488302451</v>
      </c>
      <c r="S12" s="107">
        <v>6540</v>
      </c>
      <c r="T12" s="149">
        <f t="shared" si="9"/>
        <v>0.30600786075238628</v>
      </c>
      <c r="U12" s="143">
        <v>4298</v>
      </c>
      <c r="V12" s="107">
        <v>294</v>
      </c>
      <c r="W12" s="108">
        <f t="shared" si="10"/>
        <v>6.8403908794788276E-2</v>
      </c>
      <c r="X12" s="107">
        <v>2953</v>
      </c>
      <c r="Y12" s="150">
        <f t="shared" si="11"/>
        <v>0.68706375058166591</v>
      </c>
      <c r="Z12" s="107">
        <v>163</v>
      </c>
      <c r="AA12" s="108">
        <f t="shared" si="12"/>
        <v>3.7924616100511864E-2</v>
      </c>
      <c r="AB12" s="107">
        <v>490</v>
      </c>
      <c r="AC12" s="108">
        <f t="shared" si="13"/>
        <v>0.11400651465798045</v>
      </c>
      <c r="AD12" s="107">
        <v>398</v>
      </c>
      <c r="AE12" s="108">
        <f t="shared" si="14"/>
        <v>9.2601209865053519E-2</v>
      </c>
      <c r="AF12" s="107">
        <v>4806</v>
      </c>
      <c r="AG12" s="107">
        <v>181</v>
      </c>
      <c r="AH12" s="108">
        <f t="shared" si="15"/>
        <v>3.7661256762380357E-2</v>
      </c>
      <c r="AI12" s="107">
        <v>2593</v>
      </c>
      <c r="AJ12" s="108">
        <f t="shared" si="16"/>
        <v>0.53953391593841027</v>
      </c>
      <c r="AK12" s="107">
        <v>89</v>
      </c>
      <c r="AL12" s="108">
        <f t="shared" si="17"/>
        <v>1.8518518518518517E-2</v>
      </c>
      <c r="AM12" s="107">
        <v>1325</v>
      </c>
      <c r="AN12" s="108">
        <f t="shared" si="18"/>
        <v>0.2756970453599667</v>
      </c>
      <c r="AO12" s="107">
        <v>618</v>
      </c>
      <c r="AP12" s="108">
        <f t="shared" si="19"/>
        <v>0.1285892634207241</v>
      </c>
      <c r="AQ12" s="107">
        <f t="shared" si="20"/>
        <v>9104</v>
      </c>
      <c r="AR12" s="107">
        <f t="shared" si="21"/>
        <v>475</v>
      </c>
      <c r="AS12" s="108">
        <f t="shared" si="22"/>
        <v>5.2174868189806677E-2</v>
      </c>
      <c r="AT12" s="107">
        <f t="shared" si="23"/>
        <v>5546</v>
      </c>
      <c r="AU12" s="108">
        <f t="shared" si="24"/>
        <v>0.60918277680140598</v>
      </c>
      <c r="AV12" s="107">
        <f t="shared" si="25"/>
        <v>252</v>
      </c>
      <c r="AW12" s="108">
        <f t="shared" si="26"/>
        <v>2.7680140597539545E-2</v>
      </c>
      <c r="AX12" s="107">
        <f t="shared" si="27"/>
        <v>1815</v>
      </c>
      <c r="AY12" s="108">
        <f t="shared" si="28"/>
        <v>0.19936291739894552</v>
      </c>
      <c r="AZ12" s="107">
        <f t="shared" si="29"/>
        <v>1016</v>
      </c>
      <c r="BA12" s="108">
        <f t="shared" si="30"/>
        <v>0.11159929701230228</v>
      </c>
      <c r="BB12" s="111">
        <v>4270</v>
      </c>
      <c r="BC12" s="111">
        <v>1155</v>
      </c>
      <c r="BD12" s="152">
        <f t="shared" si="31"/>
        <v>0.27049180327868855</v>
      </c>
      <c r="BE12" s="111">
        <v>4750</v>
      </c>
      <c r="BF12" s="111">
        <v>1211</v>
      </c>
      <c r="BG12" s="152">
        <f t="shared" si="0"/>
        <v>0.25494736842105264</v>
      </c>
      <c r="BH12" s="153">
        <f t="shared" si="32"/>
        <v>9020</v>
      </c>
      <c r="BI12" s="153">
        <f t="shared" si="33"/>
        <v>2366</v>
      </c>
      <c r="BJ12" s="154">
        <f t="shared" si="34"/>
        <v>0.26230598669623062</v>
      </c>
      <c r="BK12" s="107">
        <v>9104</v>
      </c>
      <c r="BL12" s="107">
        <v>2547</v>
      </c>
      <c r="BM12" s="108">
        <f t="shared" si="87"/>
        <v>0.27976713532513181</v>
      </c>
      <c r="BN12" s="107">
        <v>4298</v>
      </c>
      <c r="BO12" s="107">
        <v>984</v>
      </c>
      <c r="BP12" s="108">
        <f t="shared" si="35"/>
        <v>0.22894369474174034</v>
      </c>
      <c r="BQ12" s="107">
        <v>4806</v>
      </c>
      <c r="BR12" s="107">
        <v>1563</v>
      </c>
      <c r="BS12" s="108">
        <f t="shared" si="36"/>
        <v>0.32521847690387018</v>
      </c>
      <c r="BT12" s="113">
        <v>53602</v>
      </c>
      <c r="BU12" s="113">
        <v>10036</v>
      </c>
      <c r="BV12" s="156">
        <f t="shared" si="37"/>
        <v>0.18723181970821984</v>
      </c>
      <c r="BW12" s="156">
        <f t="shared" si="38"/>
        <v>1</v>
      </c>
      <c r="BX12" s="113">
        <v>47077</v>
      </c>
      <c r="BY12" s="113">
        <v>9664</v>
      </c>
      <c r="BZ12" s="156">
        <f t="shared" si="39"/>
        <v>0.20528071032563672</v>
      </c>
      <c r="CA12" s="156">
        <f t="shared" si="40"/>
        <v>0.96293343961737743</v>
      </c>
      <c r="CB12" s="113">
        <v>602</v>
      </c>
      <c r="CC12" s="113">
        <v>26</v>
      </c>
      <c r="CD12" s="156">
        <f t="shared" si="41"/>
        <v>4.3189368770764118E-2</v>
      </c>
      <c r="CE12" s="156">
        <f t="shared" si="88"/>
        <v>2.5906735751295338E-3</v>
      </c>
      <c r="CF12" s="113">
        <v>264</v>
      </c>
      <c r="CG12" s="113">
        <v>37</v>
      </c>
      <c r="CH12" s="156">
        <f t="shared" si="42"/>
        <v>0.14015151515151514</v>
      </c>
      <c r="CI12" s="156">
        <f t="shared" si="43"/>
        <v>3.6867277799920288E-3</v>
      </c>
      <c r="CJ12" s="113">
        <v>1635</v>
      </c>
      <c r="CK12" s="113">
        <v>120</v>
      </c>
      <c r="CL12" s="161">
        <f t="shared" si="44"/>
        <v>7.3394495412844041E-2</v>
      </c>
      <c r="CM12" s="156">
        <f t="shared" si="45"/>
        <v>1.1956954962136309E-2</v>
      </c>
      <c r="CN12" s="113">
        <v>30</v>
      </c>
      <c r="CO12" s="113">
        <v>2</v>
      </c>
      <c r="CP12" s="161">
        <f t="shared" si="46"/>
        <v>6.6666666666666666E-2</v>
      </c>
      <c r="CQ12" s="156">
        <f t="shared" si="47"/>
        <v>1.9928258270227183E-4</v>
      </c>
      <c r="CR12" s="105">
        <v>329</v>
      </c>
      <c r="CS12" s="105">
        <v>0</v>
      </c>
      <c r="CT12" s="106">
        <f t="shared" si="48"/>
        <v>0</v>
      </c>
      <c r="CU12" s="106">
        <f t="shared" si="49"/>
        <v>0</v>
      </c>
      <c r="CV12" s="113">
        <v>809</v>
      </c>
      <c r="CW12" s="113">
        <v>48</v>
      </c>
      <c r="CX12" s="156">
        <f t="shared" si="50"/>
        <v>5.9332509270704575E-2</v>
      </c>
      <c r="CY12" s="156">
        <f t="shared" si="51"/>
        <v>4.7827819848545233E-3</v>
      </c>
      <c r="CZ12" s="113">
        <v>3185</v>
      </c>
      <c r="DA12" s="113">
        <v>139</v>
      </c>
      <c r="DB12" s="156">
        <f t="shared" si="52"/>
        <v>4.3642072213500784E-2</v>
      </c>
      <c r="DC12" s="156">
        <f t="shared" si="89"/>
        <v>1.3850139497807891E-2</v>
      </c>
      <c r="DD12" s="107">
        <v>4298</v>
      </c>
      <c r="DE12" s="107">
        <v>304</v>
      </c>
      <c r="DF12" s="107">
        <v>1898</v>
      </c>
      <c r="DG12" s="107">
        <v>1165</v>
      </c>
      <c r="DH12" s="107">
        <v>931</v>
      </c>
      <c r="DI12" s="149">
        <f t="shared" si="53"/>
        <v>7.0730572359236854E-2</v>
      </c>
      <c r="DJ12" s="149">
        <f t="shared" si="54"/>
        <v>0.44160074453234061</v>
      </c>
      <c r="DK12" s="149">
        <f t="shared" si="55"/>
        <v>0.48766868310842254</v>
      </c>
      <c r="DL12" s="107">
        <v>4806</v>
      </c>
      <c r="DM12" s="107">
        <v>319</v>
      </c>
      <c r="DN12" s="107">
        <v>2187</v>
      </c>
      <c r="DO12" s="107">
        <v>1523</v>
      </c>
      <c r="DP12" s="107">
        <v>777</v>
      </c>
      <c r="DQ12" s="149">
        <f t="shared" si="56"/>
        <v>6.6375364128173117E-2</v>
      </c>
      <c r="DR12" s="149">
        <f t="shared" si="57"/>
        <v>0.4550561797752809</v>
      </c>
      <c r="DS12" s="149">
        <f t="shared" si="58"/>
        <v>0.47856845609654597</v>
      </c>
      <c r="DT12" s="107">
        <f t="shared" si="59"/>
        <v>9104</v>
      </c>
      <c r="DU12" s="107">
        <f t="shared" si="60"/>
        <v>623</v>
      </c>
      <c r="DV12" s="107">
        <f t="shared" si="61"/>
        <v>4085</v>
      </c>
      <c r="DW12" s="107">
        <f t="shared" si="62"/>
        <v>2688</v>
      </c>
      <c r="DX12" s="107">
        <f t="shared" si="63"/>
        <v>1708</v>
      </c>
      <c r="DY12" s="108">
        <f t="shared" si="64"/>
        <v>6.8431458699472758E-2</v>
      </c>
      <c r="DZ12" s="108">
        <f t="shared" si="65"/>
        <v>0.44870386643233745</v>
      </c>
      <c r="EA12" s="108">
        <f t="shared" si="66"/>
        <v>0.48286467486818979</v>
      </c>
      <c r="EB12" s="107">
        <v>6028</v>
      </c>
      <c r="EC12" s="110">
        <v>406</v>
      </c>
      <c r="ED12" s="108">
        <f t="shared" si="67"/>
        <v>6.7352355673523559E-2</v>
      </c>
      <c r="EE12" s="107">
        <v>942</v>
      </c>
      <c r="EF12" s="108">
        <f t="shared" si="67"/>
        <v>0.15627073656270737</v>
      </c>
      <c r="EG12" s="107">
        <v>1961</v>
      </c>
      <c r="EH12" s="108">
        <f t="shared" ref="EH12" si="132">EG12/$EB12</f>
        <v>0.32531519575315193</v>
      </c>
      <c r="EI12" s="107">
        <v>2979</v>
      </c>
      <c r="EJ12" s="108">
        <f t="shared" ref="EJ12" si="133">EI12/$EB12</f>
        <v>0.49419376244193763</v>
      </c>
      <c r="EK12" s="107">
        <v>4506</v>
      </c>
      <c r="EL12" s="108">
        <f t="shared" ref="EL12" si="134">EK12/$EB12</f>
        <v>0.74751161247511611</v>
      </c>
      <c r="EM12" s="107">
        <v>5120</v>
      </c>
      <c r="EN12" s="108">
        <f t="shared" ref="EN12" si="135">EM12/$EB12</f>
        <v>0.84936960849369614</v>
      </c>
      <c r="EO12" s="163">
        <v>88810</v>
      </c>
      <c r="EP12" s="163">
        <v>43631</v>
      </c>
      <c r="EQ12" s="163">
        <v>112699</v>
      </c>
      <c r="ER12" s="163">
        <v>112092</v>
      </c>
      <c r="ES12" s="163">
        <v>50433</v>
      </c>
      <c r="ET12" s="107">
        <v>4270</v>
      </c>
      <c r="EU12" s="107">
        <v>341</v>
      </c>
      <c r="EV12" s="108">
        <f t="shared" si="72"/>
        <v>7.9859484777517559E-2</v>
      </c>
      <c r="EW12" s="107">
        <v>4750</v>
      </c>
      <c r="EX12" s="107">
        <v>492</v>
      </c>
      <c r="EY12" s="108">
        <f t="shared" si="73"/>
        <v>0.10357894736842105</v>
      </c>
      <c r="EZ12" s="107">
        <f t="shared" si="74"/>
        <v>9020</v>
      </c>
      <c r="FA12" s="107">
        <f t="shared" si="75"/>
        <v>833</v>
      </c>
      <c r="FB12" s="108">
        <f t="shared" si="76"/>
        <v>9.2350332594235029E-2</v>
      </c>
      <c r="FC12" s="107">
        <v>9020</v>
      </c>
      <c r="FD12" s="107">
        <v>833</v>
      </c>
      <c r="FE12" s="108">
        <f t="shared" si="77"/>
        <v>9.2350332594235029E-2</v>
      </c>
      <c r="FF12" s="107">
        <v>1301</v>
      </c>
      <c r="FG12" s="108">
        <f t="shared" si="77"/>
        <v>0.1442350332594235</v>
      </c>
      <c r="FH12" s="107">
        <v>2009</v>
      </c>
      <c r="FI12" s="108">
        <f t="shared" ref="FI12" si="136">FH12/$FC12</f>
        <v>0.22272727272727272</v>
      </c>
      <c r="FJ12" s="107">
        <v>2191</v>
      </c>
      <c r="FK12" s="108">
        <f t="shared" ref="FK12" si="137">FJ12/$FC12</f>
        <v>0.24290465631929045</v>
      </c>
      <c r="FL12" s="107">
        <v>4472</v>
      </c>
      <c r="FM12" s="108">
        <f t="shared" ref="FM12" si="138">FL12/$FC12</f>
        <v>0.49578713968957872</v>
      </c>
      <c r="FN12" s="107">
        <v>516</v>
      </c>
      <c r="FO12" s="108">
        <v>0.185278276481149</v>
      </c>
      <c r="FP12" s="107">
        <v>0</v>
      </c>
      <c r="FQ12" s="108">
        <v>0</v>
      </c>
      <c r="FR12" s="107">
        <v>97</v>
      </c>
      <c r="FS12" s="108">
        <v>6.4111037673496366E-2</v>
      </c>
      <c r="FT12" s="110">
        <v>0</v>
      </c>
      <c r="FU12" s="108">
        <v>0</v>
      </c>
      <c r="FV12" s="107">
        <v>581</v>
      </c>
      <c r="FW12" s="108">
        <v>0.19951923076923078</v>
      </c>
      <c r="FX12" s="107">
        <v>25</v>
      </c>
      <c r="FY12" s="108">
        <v>8.5851648351648359E-3</v>
      </c>
      <c r="FZ12" s="107">
        <v>38</v>
      </c>
      <c r="GA12" s="108">
        <v>2.0063357972544878E-2</v>
      </c>
      <c r="GB12" s="107">
        <v>0</v>
      </c>
      <c r="GC12" s="108">
        <v>0</v>
      </c>
      <c r="GD12" s="107">
        <v>1232</v>
      </c>
      <c r="GE12" s="117">
        <v>0.13532513181019332</v>
      </c>
      <c r="GF12" s="107">
        <v>25</v>
      </c>
      <c r="GG12" s="117">
        <v>2.7460456942003516E-3</v>
      </c>
      <c r="GH12" s="107">
        <v>6028</v>
      </c>
      <c r="GI12" s="107">
        <v>1074</v>
      </c>
      <c r="GJ12" s="108">
        <f t="shared" si="81"/>
        <v>0.17816854678168548</v>
      </c>
      <c r="GK12" s="107">
        <v>311</v>
      </c>
      <c r="GL12" s="108">
        <f t="shared" si="82"/>
        <v>0.28957169459962756</v>
      </c>
      <c r="GM12" s="107">
        <v>691</v>
      </c>
      <c r="GN12" s="108">
        <f t="shared" si="83"/>
        <v>0.64338919925512106</v>
      </c>
      <c r="GO12" s="107">
        <v>4954</v>
      </c>
      <c r="GP12" s="108">
        <f t="shared" si="84"/>
        <v>0.82183145321831452</v>
      </c>
      <c r="GQ12" s="107">
        <v>3691</v>
      </c>
      <c r="GR12" s="108">
        <f t="shared" si="85"/>
        <v>0.74505450141299956</v>
      </c>
      <c r="GS12" s="107">
        <v>1222</v>
      </c>
      <c r="GT12" s="108">
        <f t="shared" si="86"/>
        <v>0.2466693580944691</v>
      </c>
    </row>
    <row r="13" spans="1:202" x14ac:dyDescent="0.25">
      <c r="A13" s="104" t="s">
        <v>185</v>
      </c>
      <c r="B13" s="143">
        <v>66799</v>
      </c>
      <c r="C13" s="143">
        <v>18379</v>
      </c>
      <c r="D13" s="143">
        <v>13188</v>
      </c>
      <c r="E13" s="143">
        <v>5270</v>
      </c>
      <c r="F13" s="143">
        <v>1582</v>
      </c>
      <c r="G13" s="144">
        <f t="shared" si="2"/>
        <v>0.27513884938397282</v>
      </c>
      <c r="H13" s="144">
        <f t="shared" si="3"/>
        <v>0.19742810521115586</v>
      </c>
      <c r="I13" s="144">
        <f t="shared" si="4"/>
        <v>7.8893396607733646E-2</v>
      </c>
      <c r="J13" s="144">
        <f t="shared" si="5"/>
        <v>2.3682989266306381E-2</v>
      </c>
      <c r="K13" s="143">
        <v>6307</v>
      </c>
      <c r="L13" s="145">
        <f t="shared" si="6"/>
        <v>0.47823779193205945</v>
      </c>
      <c r="M13" s="143">
        <v>6881</v>
      </c>
      <c r="N13" s="145">
        <f t="shared" si="7"/>
        <v>0.5217622080679406</v>
      </c>
      <c r="O13" s="148">
        <v>42.2</v>
      </c>
      <c r="P13" s="107">
        <v>27139</v>
      </c>
      <c r="Q13" s="107">
        <v>12125</v>
      </c>
      <c r="R13" s="108">
        <f t="shared" si="8"/>
        <v>0.44677401525479937</v>
      </c>
      <c r="S13" s="107">
        <v>9155</v>
      </c>
      <c r="T13" s="149">
        <f t="shared" si="9"/>
        <v>0.33733741110578874</v>
      </c>
      <c r="U13" s="143">
        <v>6307</v>
      </c>
      <c r="V13" s="107">
        <v>353</v>
      </c>
      <c r="W13" s="108">
        <f t="shared" si="10"/>
        <v>5.5969557634374507E-2</v>
      </c>
      <c r="X13" s="107">
        <v>4148</v>
      </c>
      <c r="Y13" s="150">
        <f t="shared" si="11"/>
        <v>0.65768194070080865</v>
      </c>
      <c r="Z13" s="107">
        <v>96</v>
      </c>
      <c r="AA13" s="108">
        <f t="shared" si="12"/>
        <v>1.522118281274774E-2</v>
      </c>
      <c r="AB13" s="107">
        <v>869</v>
      </c>
      <c r="AC13" s="108">
        <f t="shared" si="13"/>
        <v>0.13778341525289362</v>
      </c>
      <c r="AD13" s="107">
        <v>841</v>
      </c>
      <c r="AE13" s="108">
        <f t="shared" si="14"/>
        <v>0.13334390359917553</v>
      </c>
      <c r="AF13" s="107">
        <v>6881</v>
      </c>
      <c r="AG13" s="107">
        <v>429</v>
      </c>
      <c r="AH13" s="108">
        <f t="shared" si="15"/>
        <v>6.2345589303880247E-2</v>
      </c>
      <c r="AI13" s="107">
        <v>3303</v>
      </c>
      <c r="AJ13" s="108">
        <f t="shared" si="16"/>
        <v>0.48001743932567942</v>
      </c>
      <c r="AK13" s="107">
        <v>107</v>
      </c>
      <c r="AL13" s="108">
        <f t="shared" si="17"/>
        <v>1.5550065397471297E-2</v>
      </c>
      <c r="AM13" s="107">
        <v>1986</v>
      </c>
      <c r="AN13" s="108">
        <f t="shared" si="18"/>
        <v>0.28862083999418692</v>
      </c>
      <c r="AO13" s="107">
        <v>1056</v>
      </c>
      <c r="AP13" s="108">
        <f t="shared" si="19"/>
        <v>0.15346606597878215</v>
      </c>
      <c r="AQ13" s="107">
        <f t="shared" si="20"/>
        <v>13188</v>
      </c>
      <c r="AR13" s="107">
        <f t="shared" si="21"/>
        <v>782</v>
      </c>
      <c r="AS13" s="108">
        <f t="shared" si="22"/>
        <v>5.9296329996966941E-2</v>
      </c>
      <c r="AT13" s="107">
        <f t="shared" si="23"/>
        <v>7451</v>
      </c>
      <c r="AU13" s="108">
        <f t="shared" si="24"/>
        <v>0.56498331816803149</v>
      </c>
      <c r="AV13" s="107">
        <f t="shared" si="25"/>
        <v>203</v>
      </c>
      <c r="AW13" s="108">
        <f t="shared" si="26"/>
        <v>1.5392781316348195E-2</v>
      </c>
      <c r="AX13" s="107">
        <f t="shared" si="27"/>
        <v>2855</v>
      </c>
      <c r="AY13" s="108">
        <f t="shared" si="28"/>
        <v>0.21648468304519261</v>
      </c>
      <c r="AZ13" s="107">
        <f t="shared" si="29"/>
        <v>1897</v>
      </c>
      <c r="BA13" s="108">
        <f t="shared" si="30"/>
        <v>0.14384288747346072</v>
      </c>
      <c r="BB13" s="111">
        <v>6139</v>
      </c>
      <c r="BC13" s="111">
        <v>1708</v>
      </c>
      <c r="BD13" s="152">
        <f t="shared" si="31"/>
        <v>0.27822120866590649</v>
      </c>
      <c r="BE13" s="111">
        <v>6666</v>
      </c>
      <c r="BF13" s="111">
        <v>1724</v>
      </c>
      <c r="BG13" s="152">
        <f t="shared" si="0"/>
        <v>0.25862586258625864</v>
      </c>
      <c r="BH13" s="153">
        <f t="shared" si="32"/>
        <v>12805</v>
      </c>
      <c r="BI13" s="153">
        <f t="shared" si="33"/>
        <v>3432</v>
      </c>
      <c r="BJ13" s="154">
        <f t="shared" si="34"/>
        <v>0.26802030456852793</v>
      </c>
      <c r="BK13" s="107">
        <v>13188</v>
      </c>
      <c r="BL13" s="107">
        <v>3893</v>
      </c>
      <c r="BM13" s="108">
        <f t="shared" si="87"/>
        <v>0.29519259933272674</v>
      </c>
      <c r="BN13" s="107">
        <v>6307</v>
      </c>
      <c r="BO13" s="107">
        <v>1516</v>
      </c>
      <c r="BP13" s="108">
        <f t="shared" si="35"/>
        <v>0.24036784525130808</v>
      </c>
      <c r="BQ13" s="107">
        <v>6881</v>
      </c>
      <c r="BR13" s="107">
        <v>2377</v>
      </c>
      <c r="BS13" s="108">
        <f t="shared" si="36"/>
        <v>0.34544397616625488</v>
      </c>
      <c r="BT13" s="113">
        <v>67323</v>
      </c>
      <c r="BU13" s="113">
        <v>14023</v>
      </c>
      <c r="BV13" s="156">
        <f t="shared" si="37"/>
        <v>0.20829434220103085</v>
      </c>
      <c r="BW13" s="156">
        <f t="shared" si="38"/>
        <v>1</v>
      </c>
      <c r="BX13" s="113">
        <v>62476</v>
      </c>
      <c r="BY13" s="113">
        <v>13708</v>
      </c>
      <c r="BZ13" s="156">
        <f t="shared" si="39"/>
        <v>0.21941225430565336</v>
      </c>
      <c r="CA13" s="156">
        <f t="shared" si="40"/>
        <v>0.97753690365827572</v>
      </c>
      <c r="CB13" s="113">
        <v>1102</v>
      </c>
      <c r="CC13" s="113">
        <v>27</v>
      </c>
      <c r="CD13" s="156">
        <f t="shared" si="41"/>
        <v>2.4500907441016333E-2</v>
      </c>
      <c r="CE13" s="156">
        <f t="shared" si="88"/>
        <v>1.9254082578620837E-3</v>
      </c>
      <c r="CF13" s="113">
        <v>349</v>
      </c>
      <c r="CG13" s="113">
        <v>52</v>
      </c>
      <c r="CH13" s="156">
        <f t="shared" si="42"/>
        <v>0.14899713467048711</v>
      </c>
      <c r="CI13" s="156">
        <f t="shared" si="43"/>
        <v>3.7081936818084576E-3</v>
      </c>
      <c r="CJ13" s="113">
        <v>1005</v>
      </c>
      <c r="CK13" s="113">
        <v>85</v>
      </c>
      <c r="CL13" s="161">
        <f t="shared" si="44"/>
        <v>8.45771144278607E-2</v>
      </c>
      <c r="CM13" s="156">
        <f t="shared" si="45"/>
        <v>6.0614704414176709E-3</v>
      </c>
      <c r="CN13" s="113">
        <v>24</v>
      </c>
      <c r="CO13" s="113">
        <v>4</v>
      </c>
      <c r="CP13" s="161">
        <f t="shared" si="46"/>
        <v>0.16666666666666666</v>
      </c>
      <c r="CQ13" s="156">
        <f t="shared" si="47"/>
        <v>2.8524566783141983E-4</v>
      </c>
      <c r="CR13" s="105">
        <v>153</v>
      </c>
      <c r="CS13" s="105">
        <v>0</v>
      </c>
      <c r="CT13" s="106">
        <f t="shared" si="48"/>
        <v>0</v>
      </c>
      <c r="CU13" s="106">
        <f t="shared" si="49"/>
        <v>0</v>
      </c>
      <c r="CV13" s="113">
        <v>977</v>
      </c>
      <c r="CW13" s="113">
        <v>74</v>
      </c>
      <c r="CX13" s="156">
        <f t="shared" si="50"/>
        <v>7.5742067553735928E-2</v>
      </c>
      <c r="CY13" s="156">
        <f t="shared" si="51"/>
        <v>5.2770448548812663E-3</v>
      </c>
      <c r="CZ13" s="113">
        <v>1390</v>
      </c>
      <c r="DA13" s="113">
        <v>73</v>
      </c>
      <c r="DB13" s="156">
        <f t="shared" si="52"/>
        <v>5.251798561151079E-2</v>
      </c>
      <c r="DC13" s="156">
        <f t="shared" si="89"/>
        <v>5.2057334379234117E-3</v>
      </c>
      <c r="DD13" s="107">
        <v>6307</v>
      </c>
      <c r="DE13" s="107">
        <v>491</v>
      </c>
      <c r="DF13" s="107">
        <v>2719</v>
      </c>
      <c r="DG13" s="107">
        <v>1769</v>
      </c>
      <c r="DH13" s="107">
        <v>1328</v>
      </c>
      <c r="DI13" s="149">
        <f t="shared" si="53"/>
        <v>7.7850007927699388E-2</v>
      </c>
      <c r="DJ13" s="149">
        <f t="shared" si="54"/>
        <v>0.43110829237355319</v>
      </c>
      <c r="DK13" s="149">
        <f t="shared" si="55"/>
        <v>0.49104169969874745</v>
      </c>
      <c r="DL13" s="107">
        <v>6881</v>
      </c>
      <c r="DM13" s="107">
        <v>310</v>
      </c>
      <c r="DN13" s="107">
        <v>3108</v>
      </c>
      <c r="DO13" s="107">
        <v>2166</v>
      </c>
      <c r="DP13" s="107">
        <v>1297</v>
      </c>
      <c r="DQ13" s="149">
        <f t="shared" si="56"/>
        <v>4.5051591338468248E-2</v>
      </c>
      <c r="DR13" s="149">
        <f t="shared" si="57"/>
        <v>0.45167853509664291</v>
      </c>
      <c r="DS13" s="149">
        <f t="shared" si="58"/>
        <v>0.50326987356488884</v>
      </c>
      <c r="DT13" s="107">
        <f t="shared" si="59"/>
        <v>13188</v>
      </c>
      <c r="DU13" s="107">
        <f t="shared" si="60"/>
        <v>801</v>
      </c>
      <c r="DV13" s="107">
        <f t="shared" si="61"/>
        <v>5827</v>
      </c>
      <c r="DW13" s="107">
        <f t="shared" si="62"/>
        <v>3935</v>
      </c>
      <c r="DX13" s="107">
        <f t="shared" si="63"/>
        <v>2625</v>
      </c>
      <c r="DY13" s="108">
        <f t="shared" si="64"/>
        <v>6.0737033666969975E-2</v>
      </c>
      <c r="DZ13" s="108">
        <f t="shared" si="65"/>
        <v>0.44184106763724595</v>
      </c>
      <c r="EA13" s="108">
        <f t="shared" si="66"/>
        <v>0.49742189869578407</v>
      </c>
      <c r="EB13" s="107">
        <v>8369</v>
      </c>
      <c r="EC13" s="110">
        <v>797</v>
      </c>
      <c r="ED13" s="108">
        <f t="shared" si="67"/>
        <v>9.5232405305293338E-2</v>
      </c>
      <c r="EE13" s="107">
        <v>1551</v>
      </c>
      <c r="EF13" s="108">
        <f t="shared" si="67"/>
        <v>0.18532680129047677</v>
      </c>
      <c r="EG13" s="107">
        <v>2847</v>
      </c>
      <c r="EH13" s="108">
        <f t="shared" ref="EH13" si="139">EG13/$EB13</f>
        <v>0.34018401242681323</v>
      </c>
      <c r="EI13" s="107">
        <v>4007</v>
      </c>
      <c r="EJ13" s="108">
        <f t="shared" ref="EJ13" si="140">EI13/$EB13</f>
        <v>0.47879077548094157</v>
      </c>
      <c r="EK13" s="107">
        <v>5792</v>
      </c>
      <c r="EL13" s="108">
        <f t="shared" ref="EL13" si="141">EK13/$EB13</f>
        <v>0.69207790655992352</v>
      </c>
      <c r="EM13" s="107">
        <v>6832</v>
      </c>
      <c r="EN13" s="108">
        <f t="shared" ref="EN13" si="142">EM13/$EB13</f>
        <v>0.81634603895327995</v>
      </c>
      <c r="EO13" s="163">
        <v>74680</v>
      </c>
      <c r="EP13" s="163">
        <v>49836</v>
      </c>
      <c r="EQ13" s="163">
        <v>92635</v>
      </c>
      <c r="ER13" s="163">
        <v>94612</v>
      </c>
      <c r="ES13" s="163">
        <v>51546</v>
      </c>
      <c r="ET13" s="107">
        <v>6139</v>
      </c>
      <c r="EU13" s="107">
        <v>513</v>
      </c>
      <c r="EV13" s="108">
        <f t="shared" si="72"/>
        <v>8.3564098387359509E-2</v>
      </c>
      <c r="EW13" s="107">
        <v>6666</v>
      </c>
      <c r="EX13" s="107">
        <v>676</v>
      </c>
      <c r="EY13" s="108">
        <f t="shared" si="73"/>
        <v>0.10141014101410141</v>
      </c>
      <c r="EZ13" s="107">
        <f t="shared" si="74"/>
        <v>12805</v>
      </c>
      <c r="FA13" s="107">
        <f t="shared" si="75"/>
        <v>1189</v>
      </c>
      <c r="FB13" s="108">
        <f t="shared" si="76"/>
        <v>9.2854353768059353E-2</v>
      </c>
      <c r="FC13" s="107">
        <v>12805</v>
      </c>
      <c r="FD13" s="107">
        <v>1189</v>
      </c>
      <c r="FE13" s="108">
        <f t="shared" si="77"/>
        <v>9.2854353768059353E-2</v>
      </c>
      <c r="FF13" s="107">
        <v>2008</v>
      </c>
      <c r="FG13" s="108">
        <f t="shared" si="77"/>
        <v>0.1568137446310035</v>
      </c>
      <c r="FH13" s="107">
        <v>2820</v>
      </c>
      <c r="FI13" s="108">
        <f t="shared" ref="FI13" si="143">FH13/$FC13</f>
        <v>0.22022647403358064</v>
      </c>
      <c r="FJ13" s="107">
        <v>3678</v>
      </c>
      <c r="FK13" s="108">
        <f t="shared" ref="FK13" si="144">FJ13/$FC13</f>
        <v>0.28723155017571261</v>
      </c>
      <c r="FL13" s="107">
        <v>6043</v>
      </c>
      <c r="FM13" s="108">
        <f t="shared" ref="FM13" si="145">FL13/$FC13</f>
        <v>0.47192502928543539</v>
      </c>
      <c r="FN13" s="107">
        <v>1035</v>
      </c>
      <c r="FO13" s="108">
        <v>0.2600502512562814</v>
      </c>
      <c r="FP13" s="107">
        <v>28</v>
      </c>
      <c r="FQ13" s="108">
        <v>7.0351758793969852E-3</v>
      </c>
      <c r="FR13" s="107">
        <v>150</v>
      </c>
      <c r="FS13" s="108">
        <v>6.4460678985818656E-2</v>
      </c>
      <c r="FT13" s="110">
        <v>0</v>
      </c>
      <c r="FU13" s="108">
        <v>0</v>
      </c>
      <c r="FV13" s="107">
        <v>904</v>
      </c>
      <c r="FW13" s="108">
        <v>0.22955815134586086</v>
      </c>
      <c r="FX13" s="107">
        <v>3</v>
      </c>
      <c r="FY13" s="108">
        <v>7.6180802437785682E-4</v>
      </c>
      <c r="FZ13" s="107">
        <v>81</v>
      </c>
      <c r="GA13" s="108">
        <v>2.7522935779816515E-2</v>
      </c>
      <c r="GB13" s="107">
        <v>6</v>
      </c>
      <c r="GC13" s="108">
        <v>2.0387359836901123E-3</v>
      </c>
      <c r="GD13" s="107">
        <v>2170</v>
      </c>
      <c r="GE13" s="117">
        <v>0.16454352441613587</v>
      </c>
      <c r="GF13" s="107">
        <v>37</v>
      </c>
      <c r="GG13" s="117">
        <v>2.8055808310585382E-3</v>
      </c>
      <c r="GH13" s="107">
        <v>8369</v>
      </c>
      <c r="GI13" s="107">
        <v>1617</v>
      </c>
      <c r="GJ13" s="108">
        <f t="shared" si="81"/>
        <v>0.19321304815390131</v>
      </c>
      <c r="GK13" s="107">
        <v>606</v>
      </c>
      <c r="GL13" s="108">
        <f t="shared" si="82"/>
        <v>0.37476808905380332</v>
      </c>
      <c r="GM13" s="107">
        <v>896</v>
      </c>
      <c r="GN13" s="108">
        <f t="shared" si="83"/>
        <v>0.55411255411255411</v>
      </c>
      <c r="GO13" s="107">
        <v>6752</v>
      </c>
      <c r="GP13" s="108">
        <f t="shared" si="84"/>
        <v>0.80678695184609872</v>
      </c>
      <c r="GQ13" s="107">
        <v>5347</v>
      </c>
      <c r="GR13" s="108">
        <f t="shared" si="85"/>
        <v>0.79191350710900477</v>
      </c>
      <c r="GS13" s="107">
        <v>1343</v>
      </c>
      <c r="GT13" s="108">
        <f t="shared" si="86"/>
        <v>0.19890402843601895</v>
      </c>
    </row>
    <row r="14" spans="1:202" x14ac:dyDescent="0.25">
      <c r="A14" s="104" t="s">
        <v>186</v>
      </c>
      <c r="B14" s="143">
        <v>34739</v>
      </c>
      <c r="C14" s="143">
        <v>8406</v>
      </c>
      <c r="D14" s="143">
        <v>5984</v>
      </c>
      <c r="E14" s="143">
        <v>2371</v>
      </c>
      <c r="F14" s="143">
        <v>770</v>
      </c>
      <c r="G14" s="144">
        <f t="shared" si="2"/>
        <v>0.24197587725610986</v>
      </c>
      <c r="H14" s="144">
        <f t="shared" si="3"/>
        <v>0.17225596591726877</v>
      </c>
      <c r="I14" s="144">
        <f t="shared" si="4"/>
        <v>6.8251820720227979E-2</v>
      </c>
      <c r="J14" s="144">
        <f t="shared" si="5"/>
        <v>2.2165289732001495E-2</v>
      </c>
      <c r="K14" s="143">
        <v>2935</v>
      </c>
      <c r="L14" s="145">
        <f t="shared" si="6"/>
        <v>0.49047459893048129</v>
      </c>
      <c r="M14" s="143">
        <v>3049</v>
      </c>
      <c r="N14" s="145">
        <f t="shared" si="7"/>
        <v>0.50952540106951871</v>
      </c>
      <c r="O14" s="148">
        <v>36.700000000000003</v>
      </c>
      <c r="P14" s="107">
        <v>12839</v>
      </c>
      <c r="Q14" s="107">
        <v>5540</v>
      </c>
      <c r="R14" s="108">
        <f t="shared" si="8"/>
        <v>0.43149778020095025</v>
      </c>
      <c r="S14" s="107">
        <v>4132</v>
      </c>
      <c r="T14" s="149">
        <f t="shared" si="9"/>
        <v>0.32183191837370512</v>
      </c>
      <c r="U14" s="143">
        <v>2935</v>
      </c>
      <c r="V14" s="107">
        <v>164</v>
      </c>
      <c r="W14" s="108">
        <f t="shared" si="10"/>
        <v>5.5877342419080066E-2</v>
      </c>
      <c r="X14" s="107">
        <v>2055</v>
      </c>
      <c r="Y14" s="150">
        <f t="shared" si="11"/>
        <v>0.70017035775127767</v>
      </c>
      <c r="Z14" s="107">
        <v>119</v>
      </c>
      <c r="AA14" s="108">
        <f t="shared" si="12"/>
        <v>4.0545144804088586E-2</v>
      </c>
      <c r="AB14" s="107">
        <v>325</v>
      </c>
      <c r="AC14" s="108">
        <f t="shared" si="13"/>
        <v>0.11073253833049404</v>
      </c>
      <c r="AD14" s="107">
        <v>272</v>
      </c>
      <c r="AE14" s="108">
        <f t="shared" si="14"/>
        <v>9.2674616695059622E-2</v>
      </c>
      <c r="AF14" s="107">
        <v>3049</v>
      </c>
      <c r="AG14" s="107">
        <v>160</v>
      </c>
      <c r="AH14" s="108">
        <f t="shared" si="15"/>
        <v>5.2476221712036732E-2</v>
      </c>
      <c r="AI14" s="107">
        <v>1555</v>
      </c>
      <c r="AJ14" s="108">
        <f t="shared" si="16"/>
        <v>0.51000327976385695</v>
      </c>
      <c r="AK14" s="107">
        <v>103</v>
      </c>
      <c r="AL14" s="108">
        <f t="shared" si="17"/>
        <v>3.3781567727123644E-2</v>
      </c>
      <c r="AM14" s="107">
        <v>791</v>
      </c>
      <c r="AN14" s="108">
        <f t="shared" si="18"/>
        <v>0.25942932108888161</v>
      </c>
      <c r="AO14" s="107">
        <v>440</v>
      </c>
      <c r="AP14" s="108">
        <f t="shared" si="19"/>
        <v>0.14430960970810103</v>
      </c>
      <c r="AQ14" s="107">
        <f t="shared" si="20"/>
        <v>5984</v>
      </c>
      <c r="AR14" s="107">
        <f t="shared" si="21"/>
        <v>324</v>
      </c>
      <c r="AS14" s="108">
        <f t="shared" si="22"/>
        <v>5.4144385026737969E-2</v>
      </c>
      <c r="AT14" s="107">
        <f t="shared" si="23"/>
        <v>3610</v>
      </c>
      <c r="AU14" s="108">
        <f t="shared" si="24"/>
        <v>0.60327540106951871</v>
      </c>
      <c r="AV14" s="107">
        <f t="shared" si="25"/>
        <v>222</v>
      </c>
      <c r="AW14" s="108">
        <f t="shared" si="26"/>
        <v>3.7098930481283425E-2</v>
      </c>
      <c r="AX14" s="107">
        <f t="shared" si="27"/>
        <v>1116</v>
      </c>
      <c r="AY14" s="108">
        <f t="shared" si="28"/>
        <v>0.18649732620320855</v>
      </c>
      <c r="AZ14" s="107">
        <f t="shared" si="29"/>
        <v>712</v>
      </c>
      <c r="BA14" s="108">
        <f t="shared" si="30"/>
        <v>0.11898395721925134</v>
      </c>
      <c r="BB14" s="111">
        <v>2841</v>
      </c>
      <c r="BC14" s="111">
        <v>851</v>
      </c>
      <c r="BD14" s="152">
        <f t="shared" si="31"/>
        <v>0.29954241464273146</v>
      </c>
      <c r="BE14" s="111">
        <v>2858</v>
      </c>
      <c r="BF14" s="111">
        <v>866</v>
      </c>
      <c r="BG14" s="152">
        <f t="shared" si="0"/>
        <v>0.30300909727081876</v>
      </c>
      <c r="BH14" s="153">
        <f t="shared" si="32"/>
        <v>5699</v>
      </c>
      <c r="BI14" s="153">
        <f t="shared" si="33"/>
        <v>1717</v>
      </c>
      <c r="BJ14" s="154">
        <f t="shared" si="34"/>
        <v>0.30128092647832955</v>
      </c>
      <c r="BK14" s="107">
        <v>5984</v>
      </c>
      <c r="BL14" s="107">
        <v>1494</v>
      </c>
      <c r="BM14" s="108">
        <f t="shared" si="87"/>
        <v>0.24966577540106952</v>
      </c>
      <c r="BN14" s="107">
        <v>2935</v>
      </c>
      <c r="BO14" s="107">
        <v>553</v>
      </c>
      <c r="BP14" s="108">
        <f t="shared" si="35"/>
        <v>0.18841567291311756</v>
      </c>
      <c r="BQ14" s="107">
        <v>3049</v>
      </c>
      <c r="BR14" s="107">
        <v>941</v>
      </c>
      <c r="BS14" s="108">
        <f t="shared" si="36"/>
        <v>0.30862577894391602</v>
      </c>
      <c r="BT14" s="113">
        <v>34801</v>
      </c>
      <c r="BU14" s="113">
        <v>6363</v>
      </c>
      <c r="BV14" s="156">
        <f t="shared" si="37"/>
        <v>0.18283957357547198</v>
      </c>
      <c r="BW14" s="156">
        <f t="shared" si="38"/>
        <v>1</v>
      </c>
      <c r="BX14" s="113">
        <v>31505</v>
      </c>
      <c r="BY14" s="113">
        <v>6205</v>
      </c>
      <c r="BZ14" s="156">
        <f t="shared" si="39"/>
        <v>0.19695286462466274</v>
      </c>
      <c r="CA14" s="156">
        <f t="shared" si="40"/>
        <v>0.97516894546597521</v>
      </c>
      <c r="CB14" s="113">
        <v>175</v>
      </c>
      <c r="CC14" s="113">
        <v>10</v>
      </c>
      <c r="CD14" s="156">
        <f t="shared" si="41"/>
        <v>5.7142857142857141E-2</v>
      </c>
      <c r="CE14" s="156">
        <f t="shared" si="88"/>
        <v>1.5715857300015717E-3</v>
      </c>
      <c r="CF14" s="113">
        <v>187</v>
      </c>
      <c r="CG14" s="113">
        <v>28</v>
      </c>
      <c r="CH14" s="156">
        <f t="shared" si="42"/>
        <v>0.1497326203208556</v>
      </c>
      <c r="CI14" s="156">
        <f t="shared" si="43"/>
        <v>4.4004400440044002E-3</v>
      </c>
      <c r="CJ14" s="113">
        <v>184</v>
      </c>
      <c r="CK14" s="113">
        <v>18</v>
      </c>
      <c r="CL14" s="161">
        <f t="shared" si="44"/>
        <v>9.7826086956521743E-2</v>
      </c>
      <c r="CM14" s="156">
        <f t="shared" si="45"/>
        <v>2.828854314002829E-3</v>
      </c>
      <c r="CN14" s="113">
        <v>9</v>
      </c>
      <c r="CO14" s="113">
        <v>2</v>
      </c>
      <c r="CP14" s="161">
        <f t="shared" si="46"/>
        <v>0.22222222222222221</v>
      </c>
      <c r="CQ14" s="156">
        <f t="shared" si="47"/>
        <v>3.1431714600031432E-4</v>
      </c>
      <c r="CR14" s="105">
        <v>166</v>
      </c>
      <c r="CS14" s="105">
        <v>3</v>
      </c>
      <c r="CT14" s="106">
        <f t="shared" si="48"/>
        <v>1.8072289156626505E-2</v>
      </c>
      <c r="CU14" s="106">
        <f t="shared" si="49"/>
        <v>4.7147571900047147E-4</v>
      </c>
      <c r="CV14" s="113">
        <v>306</v>
      </c>
      <c r="CW14" s="113">
        <v>28</v>
      </c>
      <c r="CX14" s="156">
        <f t="shared" si="50"/>
        <v>9.1503267973856203E-2</v>
      </c>
      <c r="CY14" s="156">
        <f t="shared" si="51"/>
        <v>4.4004400440044002E-3</v>
      </c>
      <c r="CZ14" s="113">
        <v>2435</v>
      </c>
      <c r="DA14" s="113">
        <v>72</v>
      </c>
      <c r="DB14" s="156">
        <f t="shared" si="52"/>
        <v>2.9568788501026694E-2</v>
      </c>
      <c r="DC14" s="156">
        <f t="shared" si="89"/>
        <v>1.1315417256011316E-2</v>
      </c>
      <c r="DD14" s="107">
        <v>2935</v>
      </c>
      <c r="DE14" s="107">
        <v>377</v>
      </c>
      <c r="DF14" s="107">
        <v>1544</v>
      </c>
      <c r="DG14" s="107">
        <v>701</v>
      </c>
      <c r="DH14" s="107">
        <v>313</v>
      </c>
      <c r="DI14" s="149">
        <f t="shared" si="53"/>
        <v>0.12844974446337309</v>
      </c>
      <c r="DJ14" s="149">
        <f t="shared" si="54"/>
        <v>0.52606473594548553</v>
      </c>
      <c r="DK14" s="149">
        <f t="shared" si="55"/>
        <v>0.34548551959114138</v>
      </c>
      <c r="DL14" s="107">
        <v>3049</v>
      </c>
      <c r="DM14" s="107">
        <v>271</v>
      </c>
      <c r="DN14" s="107">
        <v>1550</v>
      </c>
      <c r="DO14" s="107">
        <v>804</v>
      </c>
      <c r="DP14" s="107">
        <v>424</v>
      </c>
      <c r="DQ14" s="149">
        <f t="shared" si="56"/>
        <v>8.8881600524762211E-2</v>
      </c>
      <c r="DR14" s="149">
        <f t="shared" si="57"/>
        <v>0.50836339783535589</v>
      </c>
      <c r="DS14" s="149">
        <f t="shared" si="58"/>
        <v>0.40275500163988193</v>
      </c>
      <c r="DT14" s="107">
        <f t="shared" si="59"/>
        <v>5984</v>
      </c>
      <c r="DU14" s="107">
        <f t="shared" si="60"/>
        <v>648</v>
      </c>
      <c r="DV14" s="107">
        <f t="shared" si="61"/>
        <v>3094</v>
      </c>
      <c r="DW14" s="107">
        <f t="shared" si="62"/>
        <v>1505</v>
      </c>
      <c r="DX14" s="107">
        <f t="shared" si="63"/>
        <v>737</v>
      </c>
      <c r="DY14" s="108">
        <f t="shared" si="64"/>
        <v>0.10828877005347594</v>
      </c>
      <c r="DZ14" s="108">
        <f t="shared" si="65"/>
        <v>0.51704545454545459</v>
      </c>
      <c r="EA14" s="108">
        <f t="shared" si="66"/>
        <v>0.37466577540106955</v>
      </c>
      <c r="EB14" s="107">
        <v>3716</v>
      </c>
      <c r="EC14" s="110">
        <v>326</v>
      </c>
      <c r="ED14" s="108">
        <f t="shared" si="67"/>
        <v>8.7728740581270184E-2</v>
      </c>
      <c r="EE14" s="107">
        <v>768</v>
      </c>
      <c r="EF14" s="108">
        <f t="shared" si="67"/>
        <v>0.20667384284176535</v>
      </c>
      <c r="EG14" s="107">
        <v>1337</v>
      </c>
      <c r="EH14" s="108">
        <f t="shared" ref="EH14" si="146">EG14/$EB14</f>
        <v>0.35979547900968784</v>
      </c>
      <c r="EI14" s="107">
        <v>1848</v>
      </c>
      <c r="EJ14" s="108">
        <f t="shared" ref="EJ14" si="147">EI14/$EB14</f>
        <v>0.49730893433799783</v>
      </c>
      <c r="EK14" s="107">
        <v>2636</v>
      </c>
      <c r="EL14" s="108">
        <f t="shared" ref="EL14" si="148">EK14/$EB14</f>
        <v>0.70936490850376754</v>
      </c>
      <c r="EM14" s="107">
        <v>3104</v>
      </c>
      <c r="EN14" s="108">
        <f t="shared" ref="EN14" si="149">EM14/$EB14</f>
        <v>0.83530678148546822</v>
      </c>
      <c r="EO14" s="163">
        <v>67400</v>
      </c>
      <c r="EP14" s="163">
        <v>54432</v>
      </c>
      <c r="EQ14" s="163">
        <v>80688</v>
      </c>
      <c r="ER14" s="163">
        <v>79298</v>
      </c>
      <c r="ES14" s="163">
        <v>50368</v>
      </c>
      <c r="ET14" s="107">
        <v>2841</v>
      </c>
      <c r="EU14" s="107">
        <v>199</v>
      </c>
      <c r="EV14" s="108">
        <f t="shared" si="72"/>
        <v>7.0045758535726851E-2</v>
      </c>
      <c r="EW14" s="107">
        <v>2858</v>
      </c>
      <c r="EX14" s="107">
        <v>279</v>
      </c>
      <c r="EY14" s="108">
        <f t="shared" si="73"/>
        <v>9.7620713785864247E-2</v>
      </c>
      <c r="EZ14" s="107">
        <f t="shared" si="74"/>
        <v>5699</v>
      </c>
      <c r="FA14" s="107">
        <f t="shared" si="75"/>
        <v>478</v>
      </c>
      <c r="FB14" s="108">
        <f t="shared" si="76"/>
        <v>8.3874363923495357E-2</v>
      </c>
      <c r="FC14" s="107">
        <v>5699</v>
      </c>
      <c r="FD14" s="107">
        <v>478</v>
      </c>
      <c r="FE14" s="108">
        <f t="shared" si="77"/>
        <v>8.3874363923495357E-2</v>
      </c>
      <c r="FF14" s="107">
        <v>1080</v>
      </c>
      <c r="FG14" s="108">
        <f t="shared" si="77"/>
        <v>0.18950693104053343</v>
      </c>
      <c r="FH14" s="107">
        <v>1536</v>
      </c>
      <c r="FI14" s="108">
        <f t="shared" ref="FI14" si="150">FH14/$FC14</f>
        <v>0.26952096859098085</v>
      </c>
      <c r="FJ14" s="107">
        <v>1817</v>
      </c>
      <c r="FK14" s="108">
        <f t="shared" ref="FK14" si="151">FJ14/$FC14</f>
        <v>0.31882786453763817</v>
      </c>
      <c r="FL14" s="107">
        <v>2992</v>
      </c>
      <c r="FM14" s="108">
        <f t="shared" ref="FM14" si="152">FL14/$FC14</f>
        <v>0.52500438673451477</v>
      </c>
      <c r="FN14" s="107">
        <v>586</v>
      </c>
      <c r="FO14" s="108">
        <v>0.30761154855643047</v>
      </c>
      <c r="FP14" s="107">
        <v>13</v>
      </c>
      <c r="FQ14" s="108">
        <v>6.8241469816272965E-3</v>
      </c>
      <c r="FR14" s="107">
        <v>122</v>
      </c>
      <c r="FS14" s="108">
        <v>0.11844660194174757</v>
      </c>
      <c r="FT14" s="110">
        <v>2</v>
      </c>
      <c r="FU14" s="108">
        <v>1.9417475728155339E-3</v>
      </c>
      <c r="FV14" s="107">
        <v>462</v>
      </c>
      <c r="FW14" s="108">
        <v>0.27049180327868855</v>
      </c>
      <c r="FX14" s="107">
        <v>3</v>
      </c>
      <c r="FY14" s="108">
        <v>1.756440281030445E-3</v>
      </c>
      <c r="FZ14" s="107">
        <v>110</v>
      </c>
      <c r="GA14" s="108">
        <v>8.2028337061894108E-2</v>
      </c>
      <c r="GB14" s="107">
        <v>0</v>
      </c>
      <c r="GC14" s="108">
        <v>0</v>
      </c>
      <c r="GD14" s="107">
        <v>1280</v>
      </c>
      <c r="GE14" s="117">
        <v>0.21390374331550802</v>
      </c>
      <c r="GF14" s="107">
        <v>18</v>
      </c>
      <c r="GG14" s="117">
        <v>3.0080213903743314E-3</v>
      </c>
      <c r="GH14" s="107">
        <v>3716</v>
      </c>
      <c r="GI14" s="107">
        <v>533</v>
      </c>
      <c r="GJ14" s="108">
        <f t="shared" si="81"/>
        <v>0.14343379978471474</v>
      </c>
      <c r="GK14" s="107">
        <v>223</v>
      </c>
      <c r="GL14" s="108">
        <f t="shared" si="82"/>
        <v>0.41838649155722324</v>
      </c>
      <c r="GM14" s="107">
        <v>170</v>
      </c>
      <c r="GN14" s="108">
        <f t="shared" si="83"/>
        <v>0.31894934333958724</v>
      </c>
      <c r="GO14" s="107">
        <v>3183</v>
      </c>
      <c r="GP14" s="108">
        <f t="shared" si="84"/>
        <v>0.85656620021528529</v>
      </c>
      <c r="GQ14" s="107">
        <v>2527</v>
      </c>
      <c r="GR14" s="108">
        <f t="shared" si="85"/>
        <v>0.79390512095507382</v>
      </c>
      <c r="GS14" s="107">
        <v>635</v>
      </c>
      <c r="GT14" s="108">
        <f t="shared" si="86"/>
        <v>0.19949732956330507</v>
      </c>
    </row>
    <row r="15" spans="1:202" x14ac:dyDescent="0.25">
      <c r="A15" s="104" t="s">
        <v>187</v>
      </c>
      <c r="B15" s="143">
        <v>58272</v>
      </c>
      <c r="C15" s="143">
        <v>15939</v>
      </c>
      <c r="D15" s="143">
        <v>11422</v>
      </c>
      <c r="E15" s="143">
        <v>4452</v>
      </c>
      <c r="F15" s="143">
        <v>1133</v>
      </c>
      <c r="G15" s="144">
        <f t="shared" si="2"/>
        <v>0.27352759472817134</v>
      </c>
      <c r="H15" s="144">
        <f t="shared" si="3"/>
        <v>0.1960118066996156</v>
      </c>
      <c r="I15" s="144">
        <f t="shared" si="4"/>
        <v>7.6400329489291596E-2</v>
      </c>
      <c r="J15" s="144">
        <f t="shared" si="5"/>
        <v>1.9443300384404172E-2</v>
      </c>
      <c r="K15" s="143">
        <v>5495</v>
      </c>
      <c r="L15" s="145">
        <f t="shared" si="6"/>
        <v>0.48108912624759237</v>
      </c>
      <c r="M15" s="143">
        <v>5927</v>
      </c>
      <c r="N15" s="145">
        <f t="shared" si="7"/>
        <v>0.51891087375240763</v>
      </c>
      <c r="O15" s="148">
        <v>43.7</v>
      </c>
      <c r="P15" s="107">
        <v>24158</v>
      </c>
      <c r="Q15" s="107">
        <v>10968</v>
      </c>
      <c r="R15" s="108">
        <f t="shared" si="8"/>
        <v>0.45401109363357894</v>
      </c>
      <c r="S15" s="107">
        <v>8063</v>
      </c>
      <c r="T15" s="149">
        <f t="shared" si="9"/>
        <v>0.33376107293650137</v>
      </c>
      <c r="U15" s="143">
        <v>5495</v>
      </c>
      <c r="V15" s="107">
        <v>261</v>
      </c>
      <c r="W15" s="108">
        <f t="shared" si="10"/>
        <v>4.7497725204731576E-2</v>
      </c>
      <c r="X15" s="107">
        <v>4011</v>
      </c>
      <c r="Y15" s="150">
        <f t="shared" si="11"/>
        <v>0.72993630573248403</v>
      </c>
      <c r="Z15" s="107">
        <v>171</v>
      </c>
      <c r="AA15" s="108">
        <f t="shared" si="12"/>
        <v>3.1119199272065513E-2</v>
      </c>
      <c r="AB15" s="107">
        <v>499</v>
      </c>
      <c r="AC15" s="108">
        <f t="shared" si="13"/>
        <v>9.0809827115559599E-2</v>
      </c>
      <c r="AD15" s="107">
        <v>553</v>
      </c>
      <c r="AE15" s="108">
        <f t="shared" si="14"/>
        <v>0.10063694267515924</v>
      </c>
      <c r="AF15" s="107">
        <v>5927</v>
      </c>
      <c r="AG15" s="107">
        <v>247</v>
      </c>
      <c r="AH15" s="108">
        <f t="shared" si="15"/>
        <v>4.1673696642483549E-2</v>
      </c>
      <c r="AI15" s="107">
        <v>2900</v>
      </c>
      <c r="AJ15" s="108">
        <f t="shared" si="16"/>
        <v>0.48928631685507001</v>
      </c>
      <c r="AK15" s="107">
        <v>139</v>
      </c>
      <c r="AL15" s="108">
        <f t="shared" si="17"/>
        <v>2.3451999325122323E-2</v>
      </c>
      <c r="AM15" s="107">
        <v>1844</v>
      </c>
      <c r="AN15" s="108">
        <f t="shared" si="18"/>
        <v>0.31111860975198247</v>
      </c>
      <c r="AO15" s="107">
        <v>797</v>
      </c>
      <c r="AP15" s="108">
        <f t="shared" si="19"/>
        <v>0.13446937742534165</v>
      </c>
      <c r="AQ15" s="107">
        <f t="shared" si="20"/>
        <v>11422</v>
      </c>
      <c r="AR15" s="107">
        <f t="shared" si="21"/>
        <v>508</v>
      </c>
      <c r="AS15" s="108">
        <f t="shared" si="22"/>
        <v>4.4475573454736475E-2</v>
      </c>
      <c r="AT15" s="107">
        <f t="shared" si="23"/>
        <v>6911</v>
      </c>
      <c r="AU15" s="108">
        <f t="shared" si="24"/>
        <v>0.60506040973559794</v>
      </c>
      <c r="AV15" s="107">
        <f t="shared" si="25"/>
        <v>310</v>
      </c>
      <c r="AW15" s="108">
        <f t="shared" si="26"/>
        <v>2.7140605848362809E-2</v>
      </c>
      <c r="AX15" s="107">
        <f t="shared" si="27"/>
        <v>2343</v>
      </c>
      <c r="AY15" s="108">
        <f t="shared" si="28"/>
        <v>0.20513045000875504</v>
      </c>
      <c r="AZ15" s="107">
        <f t="shared" si="29"/>
        <v>1350</v>
      </c>
      <c r="BA15" s="108">
        <f t="shared" si="30"/>
        <v>0.11819296095254772</v>
      </c>
      <c r="BB15" s="111">
        <v>5353</v>
      </c>
      <c r="BC15" s="111">
        <v>1415</v>
      </c>
      <c r="BD15" s="152">
        <f t="shared" si="31"/>
        <v>0.26433775453017</v>
      </c>
      <c r="BE15" s="111">
        <v>5686</v>
      </c>
      <c r="BF15" s="111">
        <v>1338</v>
      </c>
      <c r="BG15" s="152">
        <f t="shared" si="0"/>
        <v>0.23531480830109039</v>
      </c>
      <c r="BH15" s="153">
        <f t="shared" si="32"/>
        <v>11039</v>
      </c>
      <c r="BI15" s="153">
        <f t="shared" si="33"/>
        <v>2753</v>
      </c>
      <c r="BJ15" s="154">
        <f t="shared" si="34"/>
        <v>0.24938853156988858</v>
      </c>
      <c r="BK15" s="107">
        <v>11422</v>
      </c>
      <c r="BL15" s="107">
        <v>2930</v>
      </c>
      <c r="BM15" s="108">
        <f t="shared" si="87"/>
        <v>0.25652250043775171</v>
      </c>
      <c r="BN15" s="107">
        <v>5495</v>
      </c>
      <c r="BO15" s="107">
        <v>904</v>
      </c>
      <c r="BP15" s="108">
        <f t="shared" si="35"/>
        <v>0.16451319381255686</v>
      </c>
      <c r="BQ15" s="107">
        <v>5927</v>
      </c>
      <c r="BR15" s="107">
        <v>2026</v>
      </c>
      <c r="BS15" s="108">
        <f t="shared" si="36"/>
        <v>0.34182554412012822</v>
      </c>
      <c r="BT15" s="113">
        <v>58113</v>
      </c>
      <c r="BU15" s="113">
        <v>12150</v>
      </c>
      <c r="BV15" s="156">
        <f t="shared" si="37"/>
        <v>0.20907542202261112</v>
      </c>
      <c r="BW15" s="156">
        <f t="shared" si="38"/>
        <v>1</v>
      </c>
      <c r="BX15" s="113">
        <v>52730</v>
      </c>
      <c r="BY15" s="113">
        <v>11734</v>
      </c>
      <c r="BZ15" s="156">
        <f t="shared" si="39"/>
        <v>0.22252986914469941</v>
      </c>
      <c r="CA15" s="156">
        <f t="shared" si="40"/>
        <v>0.96576131687242794</v>
      </c>
      <c r="CB15" s="113">
        <v>879</v>
      </c>
      <c r="CC15" s="113">
        <v>69</v>
      </c>
      <c r="CD15" s="156">
        <f t="shared" si="41"/>
        <v>7.8498293515358364E-2</v>
      </c>
      <c r="CE15" s="156">
        <f t="shared" si="88"/>
        <v>5.6790123456790121E-3</v>
      </c>
      <c r="CF15" s="113">
        <v>330</v>
      </c>
      <c r="CG15" s="113">
        <v>50</v>
      </c>
      <c r="CH15" s="156">
        <f t="shared" si="42"/>
        <v>0.15151515151515152</v>
      </c>
      <c r="CI15" s="156">
        <f t="shared" si="43"/>
        <v>4.11522633744856E-3</v>
      </c>
      <c r="CJ15" s="113">
        <v>547</v>
      </c>
      <c r="CK15" s="113">
        <v>87</v>
      </c>
      <c r="CL15" s="161">
        <f t="shared" si="44"/>
        <v>0.15904936014625229</v>
      </c>
      <c r="CM15" s="156">
        <f t="shared" si="45"/>
        <v>7.1604938271604942E-3</v>
      </c>
      <c r="CN15" s="113">
        <v>43</v>
      </c>
      <c r="CO15" s="113">
        <v>6</v>
      </c>
      <c r="CP15" s="161">
        <f t="shared" si="46"/>
        <v>0.13953488372093023</v>
      </c>
      <c r="CQ15" s="156">
        <f t="shared" si="47"/>
        <v>4.9382716049382717E-4</v>
      </c>
      <c r="CR15" s="105">
        <v>229</v>
      </c>
      <c r="CS15" s="105">
        <v>0</v>
      </c>
      <c r="CT15" s="106">
        <f t="shared" si="48"/>
        <v>0</v>
      </c>
      <c r="CU15" s="106">
        <f t="shared" si="49"/>
        <v>0</v>
      </c>
      <c r="CV15" s="113">
        <v>901</v>
      </c>
      <c r="CW15" s="113">
        <v>59</v>
      </c>
      <c r="CX15" s="156">
        <f t="shared" si="50"/>
        <v>6.5482796892341849E-2</v>
      </c>
      <c r="CY15" s="156">
        <f t="shared" si="51"/>
        <v>4.8559670781893006E-3</v>
      </c>
      <c r="CZ15" s="113">
        <v>2683</v>
      </c>
      <c r="DA15" s="113">
        <v>145</v>
      </c>
      <c r="DB15" s="156">
        <f t="shared" si="52"/>
        <v>5.4043980618710401E-2</v>
      </c>
      <c r="DC15" s="156">
        <f t="shared" si="89"/>
        <v>1.1934156378600824E-2</v>
      </c>
      <c r="DD15" s="107">
        <v>5495</v>
      </c>
      <c r="DE15" s="107">
        <v>358</v>
      </c>
      <c r="DF15" s="107">
        <v>2062</v>
      </c>
      <c r="DG15" s="107">
        <v>1858</v>
      </c>
      <c r="DH15" s="107">
        <v>1217</v>
      </c>
      <c r="DI15" s="149">
        <f t="shared" si="53"/>
        <v>6.5150136487716101E-2</v>
      </c>
      <c r="DJ15" s="149">
        <f t="shared" si="54"/>
        <v>0.37525022747952685</v>
      </c>
      <c r="DK15" s="149">
        <f t="shared" si="55"/>
        <v>0.55959963603275709</v>
      </c>
      <c r="DL15" s="107">
        <v>5927</v>
      </c>
      <c r="DM15" s="107">
        <v>201</v>
      </c>
      <c r="DN15" s="107">
        <v>2138</v>
      </c>
      <c r="DO15" s="107">
        <v>2145</v>
      </c>
      <c r="DP15" s="107">
        <v>1443</v>
      </c>
      <c r="DQ15" s="149">
        <f t="shared" si="56"/>
        <v>3.3912603340644505E-2</v>
      </c>
      <c r="DR15" s="149">
        <f t="shared" si="57"/>
        <v>0.36072211911591023</v>
      </c>
      <c r="DS15" s="149">
        <f t="shared" si="58"/>
        <v>0.60536527754344527</v>
      </c>
      <c r="DT15" s="107">
        <f t="shared" si="59"/>
        <v>11422</v>
      </c>
      <c r="DU15" s="107">
        <f t="shared" si="60"/>
        <v>559</v>
      </c>
      <c r="DV15" s="107">
        <f t="shared" si="61"/>
        <v>4200</v>
      </c>
      <c r="DW15" s="107">
        <f t="shared" si="62"/>
        <v>4003</v>
      </c>
      <c r="DX15" s="107">
        <f t="shared" si="63"/>
        <v>2660</v>
      </c>
      <c r="DY15" s="108">
        <f t="shared" si="64"/>
        <v>4.8940640868499384E-2</v>
      </c>
      <c r="DZ15" s="108">
        <f t="shared" si="65"/>
        <v>0.36771143407459289</v>
      </c>
      <c r="EA15" s="108">
        <f t="shared" si="66"/>
        <v>0.58334792505690769</v>
      </c>
      <c r="EB15" s="107">
        <v>7203</v>
      </c>
      <c r="EC15" s="110">
        <v>592</v>
      </c>
      <c r="ED15" s="108">
        <f t="shared" si="67"/>
        <v>8.2187977231709008E-2</v>
      </c>
      <c r="EE15" s="107">
        <v>1241</v>
      </c>
      <c r="EF15" s="108">
        <f t="shared" si="67"/>
        <v>0.17228932389282242</v>
      </c>
      <c r="EG15" s="107">
        <v>2077</v>
      </c>
      <c r="EH15" s="108">
        <f t="shared" ref="EH15" si="153">EG15/$EB15</f>
        <v>0.2883520755240872</v>
      </c>
      <c r="EI15" s="107">
        <v>3111</v>
      </c>
      <c r="EJ15" s="108">
        <f t="shared" ref="EJ15" si="154">EI15/$EB15</f>
        <v>0.43190337359433567</v>
      </c>
      <c r="EK15" s="107">
        <v>4514</v>
      </c>
      <c r="EL15" s="108">
        <f t="shared" ref="EL15" si="155">EK15/$EB15</f>
        <v>0.62668332639178115</v>
      </c>
      <c r="EM15" s="107">
        <v>5501</v>
      </c>
      <c r="EN15" s="108">
        <f t="shared" ref="EN15" si="156">EM15/$EB15</f>
        <v>0.76370956545883661</v>
      </c>
      <c r="EO15" s="163">
        <v>85351</v>
      </c>
      <c r="EP15" s="163">
        <v>46528</v>
      </c>
      <c r="EQ15" s="163">
        <v>95611</v>
      </c>
      <c r="ER15" s="163">
        <v>103373</v>
      </c>
      <c r="ES15" s="163">
        <v>57885</v>
      </c>
      <c r="ET15" s="107">
        <v>5353</v>
      </c>
      <c r="EU15" s="107">
        <v>285</v>
      </c>
      <c r="EV15" s="108">
        <f t="shared" si="72"/>
        <v>5.3241173173921165E-2</v>
      </c>
      <c r="EW15" s="107">
        <v>5686</v>
      </c>
      <c r="EX15" s="107">
        <v>563</v>
      </c>
      <c r="EY15" s="108">
        <f t="shared" si="73"/>
        <v>9.9015124868097076E-2</v>
      </c>
      <c r="EZ15" s="107">
        <f t="shared" si="74"/>
        <v>11039</v>
      </c>
      <c r="FA15" s="107">
        <f t="shared" si="75"/>
        <v>848</v>
      </c>
      <c r="FB15" s="108">
        <f t="shared" si="76"/>
        <v>7.6818552405109153E-2</v>
      </c>
      <c r="FC15" s="107">
        <v>11039</v>
      </c>
      <c r="FD15" s="107">
        <v>848</v>
      </c>
      <c r="FE15" s="108">
        <f t="shared" si="77"/>
        <v>7.6818552405109153E-2</v>
      </c>
      <c r="FF15" s="107">
        <v>1551</v>
      </c>
      <c r="FG15" s="108">
        <f t="shared" si="77"/>
        <v>0.14050185705226922</v>
      </c>
      <c r="FH15" s="107">
        <v>2290</v>
      </c>
      <c r="FI15" s="108">
        <f t="shared" ref="FI15" si="157">FH15/$FC15</f>
        <v>0.20744632666002355</v>
      </c>
      <c r="FJ15" s="107">
        <v>2735</v>
      </c>
      <c r="FK15" s="108">
        <f t="shared" ref="FK15" si="158">FJ15/$FC15</f>
        <v>0.24775794908959145</v>
      </c>
      <c r="FL15" s="107">
        <v>4500</v>
      </c>
      <c r="FM15" s="108">
        <f t="shared" ref="FM15" si="159">FL15/$FC15</f>
        <v>0.40764562007428207</v>
      </c>
      <c r="FN15" s="107">
        <v>966</v>
      </c>
      <c r="FO15" s="108">
        <v>0.27043673012318031</v>
      </c>
      <c r="FP15" s="107">
        <v>13</v>
      </c>
      <c r="FQ15" s="108">
        <v>3.6394176931690931E-3</v>
      </c>
      <c r="FR15" s="107">
        <v>217</v>
      </c>
      <c r="FS15" s="108">
        <v>0.11284451378055123</v>
      </c>
      <c r="FT15" s="110">
        <v>4</v>
      </c>
      <c r="FU15" s="108">
        <v>2.0800832033281333E-3</v>
      </c>
      <c r="FV15" s="107">
        <v>685</v>
      </c>
      <c r="FW15" s="108">
        <v>0.20158917010005886</v>
      </c>
      <c r="FX15" s="107">
        <v>1</v>
      </c>
      <c r="FY15" s="108">
        <v>2.942907592701589E-4</v>
      </c>
      <c r="FZ15" s="107">
        <v>136</v>
      </c>
      <c r="GA15" s="108">
        <v>5.3776196124950576E-2</v>
      </c>
      <c r="GB15" s="107">
        <v>0</v>
      </c>
      <c r="GC15" s="108">
        <v>0</v>
      </c>
      <c r="GD15" s="107">
        <v>2004</v>
      </c>
      <c r="GE15" s="117">
        <v>0.1754508842584486</v>
      </c>
      <c r="GF15" s="107">
        <v>18</v>
      </c>
      <c r="GG15" s="117">
        <v>1.5759061460339696E-3</v>
      </c>
      <c r="GH15" s="107">
        <v>7203</v>
      </c>
      <c r="GI15" s="107">
        <v>1361</v>
      </c>
      <c r="GJ15" s="108">
        <f t="shared" si="81"/>
        <v>0.18894904900735804</v>
      </c>
      <c r="GK15" s="107">
        <v>668</v>
      </c>
      <c r="GL15" s="108">
        <f t="shared" si="82"/>
        <v>0.49081557678177812</v>
      </c>
      <c r="GM15" s="107">
        <v>554</v>
      </c>
      <c r="GN15" s="108">
        <f t="shared" si="83"/>
        <v>0.40705363703159442</v>
      </c>
      <c r="GO15" s="107">
        <v>5842</v>
      </c>
      <c r="GP15" s="108">
        <f t="shared" si="84"/>
        <v>0.81105095099264191</v>
      </c>
      <c r="GQ15" s="107">
        <v>4498</v>
      </c>
      <c r="GR15" s="108">
        <f t="shared" si="85"/>
        <v>0.76994180075316676</v>
      </c>
      <c r="GS15" s="107">
        <v>1296</v>
      </c>
      <c r="GT15" s="108">
        <f t="shared" si="86"/>
        <v>0.22184183498801779</v>
      </c>
    </row>
    <row r="16" spans="1:202" x14ac:dyDescent="0.25">
      <c r="A16" s="104" t="s">
        <v>188</v>
      </c>
      <c r="B16" s="143">
        <v>16042</v>
      </c>
      <c r="C16" s="143">
        <v>5294</v>
      </c>
      <c r="D16" s="143">
        <v>4032</v>
      </c>
      <c r="E16" s="143">
        <v>1658</v>
      </c>
      <c r="F16" s="143">
        <v>405</v>
      </c>
      <c r="G16" s="144">
        <f t="shared" si="2"/>
        <v>0.33000872709138512</v>
      </c>
      <c r="H16" s="144">
        <f t="shared" si="3"/>
        <v>0.25134023189128535</v>
      </c>
      <c r="I16" s="144">
        <f t="shared" si="4"/>
        <v>0.10335369654656526</v>
      </c>
      <c r="J16" s="144">
        <f t="shared" si="5"/>
        <v>2.524622864979429E-2</v>
      </c>
      <c r="K16" s="143">
        <v>1981</v>
      </c>
      <c r="L16" s="145">
        <f t="shared" si="6"/>
        <v>0.49131944444444442</v>
      </c>
      <c r="M16" s="143">
        <v>2051</v>
      </c>
      <c r="N16" s="145">
        <f t="shared" si="7"/>
        <v>0.50868055555555558</v>
      </c>
      <c r="O16" s="148">
        <v>47.4</v>
      </c>
      <c r="P16" s="107">
        <v>6706</v>
      </c>
      <c r="Q16" s="107">
        <v>3531</v>
      </c>
      <c r="R16" s="108">
        <f t="shared" si="8"/>
        <v>0.52654339397554428</v>
      </c>
      <c r="S16" s="107">
        <v>2788</v>
      </c>
      <c r="T16" s="149">
        <f t="shared" si="9"/>
        <v>0.41574709215627798</v>
      </c>
      <c r="U16" s="143">
        <v>1981</v>
      </c>
      <c r="V16" s="107">
        <v>154</v>
      </c>
      <c r="W16" s="108">
        <f t="shared" si="10"/>
        <v>7.7738515901060068E-2</v>
      </c>
      <c r="X16" s="107">
        <v>1248</v>
      </c>
      <c r="Y16" s="150">
        <f t="shared" si="11"/>
        <v>0.62998485613326605</v>
      </c>
      <c r="Z16" s="107">
        <v>87</v>
      </c>
      <c r="AA16" s="108">
        <f t="shared" si="12"/>
        <v>4.3917213528520946E-2</v>
      </c>
      <c r="AB16" s="107">
        <v>201</v>
      </c>
      <c r="AC16" s="108">
        <f t="shared" si="13"/>
        <v>0.10146390711761737</v>
      </c>
      <c r="AD16" s="107">
        <v>291</v>
      </c>
      <c r="AE16" s="108">
        <f t="shared" si="14"/>
        <v>0.1468955073195356</v>
      </c>
      <c r="AF16" s="107">
        <v>2051</v>
      </c>
      <c r="AG16" s="107">
        <v>88</v>
      </c>
      <c r="AH16" s="108">
        <f t="shared" si="15"/>
        <v>4.2905899561189662E-2</v>
      </c>
      <c r="AI16" s="107">
        <v>1114</v>
      </c>
      <c r="AJ16" s="108">
        <f t="shared" si="16"/>
        <v>0.54314968308142375</v>
      </c>
      <c r="AK16" s="107">
        <v>39</v>
      </c>
      <c r="AL16" s="108">
        <f t="shared" si="17"/>
        <v>1.901511457825451E-2</v>
      </c>
      <c r="AM16" s="107">
        <v>475</v>
      </c>
      <c r="AN16" s="108">
        <f t="shared" si="18"/>
        <v>0.23159434422233058</v>
      </c>
      <c r="AO16" s="107">
        <v>335</v>
      </c>
      <c r="AP16" s="108">
        <f t="shared" si="19"/>
        <v>0.16333495855680155</v>
      </c>
      <c r="AQ16" s="107">
        <f t="shared" si="20"/>
        <v>4032</v>
      </c>
      <c r="AR16" s="107">
        <f t="shared" si="21"/>
        <v>242</v>
      </c>
      <c r="AS16" s="108">
        <f t="shared" si="22"/>
        <v>6.0019841269841272E-2</v>
      </c>
      <c r="AT16" s="107">
        <f t="shared" si="23"/>
        <v>2362</v>
      </c>
      <c r="AU16" s="108">
        <f t="shared" si="24"/>
        <v>0.58581349206349209</v>
      </c>
      <c r="AV16" s="107">
        <f t="shared" si="25"/>
        <v>126</v>
      </c>
      <c r="AW16" s="108">
        <f t="shared" si="26"/>
        <v>3.125E-2</v>
      </c>
      <c r="AX16" s="107">
        <f t="shared" si="27"/>
        <v>676</v>
      </c>
      <c r="AY16" s="108">
        <f t="shared" si="28"/>
        <v>0.16765873015873015</v>
      </c>
      <c r="AZ16" s="107">
        <f t="shared" si="29"/>
        <v>626</v>
      </c>
      <c r="BA16" s="108">
        <f t="shared" si="30"/>
        <v>0.15525793650793651</v>
      </c>
      <c r="BB16" s="111">
        <v>1894</v>
      </c>
      <c r="BC16" s="111">
        <v>590</v>
      </c>
      <c r="BD16" s="152">
        <f t="shared" si="31"/>
        <v>0.31151003167898628</v>
      </c>
      <c r="BE16" s="111">
        <v>1983</v>
      </c>
      <c r="BF16" s="111">
        <v>462</v>
      </c>
      <c r="BG16" s="152">
        <f t="shared" si="0"/>
        <v>0.2329803328290469</v>
      </c>
      <c r="BH16" s="153">
        <f t="shared" si="32"/>
        <v>3877</v>
      </c>
      <c r="BI16" s="153">
        <f t="shared" si="33"/>
        <v>1052</v>
      </c>
      <c r="BJ16" s="154">
        <f t="shared" si="34"/>
        <v>0.27134382254320349</v>
      </c>
      <c r="BK16" s="107">
        <v>4032</v>
      </c>
      <c r="BL16" s="107">
        <v>1088</v>
      </c>
      <c r="BM16" s="108">
        <f t="shared" si="87"/>
        <v>0.26984126984126983</v>
      </c>
      <c r="BN16" s="107">
        <v>1981</v>
      </c>
      <c r="BO16" s="107">
        <v>507</v>
      </c>
      <c r="BP16" s="108">
        <f t="shared" si="35"/>
        <v>0.25593134780413934</v>
      </c>
      <c r="BQ16" s="107">
        <v>2051</v>
      </c>
      <c r="BR16" s="107">
        <v>581</v>
      </c>
      <c r="BS16" s="108">
        <f t="shared" si="36"/>
        <v>0.28327645051194539</v>
      </c>
      <c r="BT16" s="113">
        <v>16008</v>
      </c>
      <c r="BU16" s="113">
        <v>4216</v>
      </c>
      <c r="BV16" s="156">
        <f t="shared" si="37"/>
        <v>0.26336831584207898</v>
      </c>
      <c r="BW16" s="156">
        <f t="shared" si="38"/>
        <v>1</v>
      </c>
      <c r="BX16" s="113">
        <v>14959</v>
      </c>
      <c r="BY16" s="113">
        <v>4123</v>
      </c>
      <c r="BZ16" s="156">
        <f t="shared" si="39"/>
        <v>0.27562002807674307</v>
      </c>
      <c r="CA16" s="156">
        <f t="shared" si="40"/>
        <v>0.9779411764705882</v>
      </c>
      <c r="CB16" s="113">
        <v>350</v>
      </c>
      <c r="CC16" s="113">
        <v>17</v>
      </c>
      <c r="CD16" s="156">
        <f t="shared" si="41"/>
        <v>4.8571428571428571E-2</v>
      </c>
      <c r="CE16" s="156">
        <f t="shared" si="88"/>
        <v>4.0322580645161289E-3</v>
      </c>
      <c r="CF16" s="113">
        <v>58</v>
      </c>
      <c r="CG16" s="113">
        <v>11</v>
      </c>
      <c r="CH16" s="156">
        <f t="shared" si="42"/>
        <v>0.18965517241379309</v>
      </c>
      <c r="CI16" s="156">
        <f t="shared" si="43"/>
        <v>2.6091081593927895E-3</v>
      </c>
      <c r="CJ16" s="113">
        <v>124</v>
      </c>
      <c r="CK16" s="113">
        <v>15</v>
      </c>
      <c r="CL16" s="161">
        <f t="shared" si="44"/>
        <v>0.12096774193548387</v>
      </c>
      <c r="CM16" s="156">
        <f t="shared" si="45"/>
        <v>3.557874762808349E-3</v>
      </c>
      <c r="CN16" s="113">
        <v>7</v>
      </c>
      <c r="CO16" s="113">
        <v>2</v>
      </c>
      <c r="CP16" s="161">
        <f t="shared" si="46"/>
        <v>0.2857142857142857</v>
      </c>
      <c r="CQ16" s="156">
        <f t="shared" si="47"/>
        <v>4.743833017077799E-4</v>
      </c>
      <c r="CR16" s="105">
        <v>23</v>
      </c>
      <c r="CS16" s="105">
        <v>3</v>
      </c>
      <c r="CT16" s="106">
        <f t="shared" si="48"/>
        <v>0.13043478260869565</v>
      </c>
      <c r="CU16" s="106">
        <f t="shared" si="49"/>
        <v>7.1157495256166982E-4</v>
      </c>
      <c r="CV16" s="113">
        <v>176</v>
      </c>
      <c r="CW16" s="113">
        <v>24</v>
      </c>
      <c r="CX16" s="156">
        <f t="shared" si="50"/>
        <v>0.13636363636363635</v>
      </c>
      <c r="CY16" s="156">
        <f t="shared" si="51"/>
        <v>5.6925996204933585E-3</v>
      </c>
      <c r="CZ16" s="113">
        <v>334</v>
      </c>
      <c r="DA16" s="113">
        <v>24</v>
      </c>
      <c r="DB16" s="156">
        <f t="shared" si="52"/>
        <v>7.1856287425149698E-2</v>
      </c>
      <c r="DC16" s="156">
        <f t="shared" si="89"/>
        <v>5.6925996204933585E-3</v>
      </c>
      <c r="DD16" s="107">
        <v>1981</v>
      </c>
      <c r="DE16" s="107">
        <v>145</v>
      </c>
      <c r="DF16" s="107">
        <v>945</v>
      </c>
      <c r="DG16" s="107">
        <v>501</v>
      </c>
      <c r="DH16" s="107">
        <v>390</v>
      </c>
      <c r="DI16" s="149">
        <f t="shared" si="53"/>
        <v>7.3195355880868243E-2</v>
      </c>
      <c r="DJ16" s="149">
        <f t="shared" si="54"/>
        <v>0.47703180212014135</v>
      </c>
      <c r="DK16" s="149">
        <f t="shared" si="55"/>
        <v>0.44977284199899042</v>
      </c>
      <c r="DL16" s="107">
        <v>2051</v>
      </c>
      <c r="DM16" s="107">
        <v>146</v>
      </c>
      <c r="DN16" s="107">
        <v>946</v>
      </c>
      <c r="DO16" s="107">
        <v>632</v>
      </c>
      <c r="DP16" s="107">
        <v>327</v>
      </c>
      <c r="DQ16" s="149">
        <f t="shared" si="56"/>
        <v>7.1184787908337391E-2</v>
      </c>
      <c r="DR16" s="149">
        <f t="shared" si="57"/>
        <v>0.46123842028278889</v>
      </c>
      <c r="DS16" s="149">
        <f t="shared" si="58"/>
        <v>0.46757679180887374</v>
      </c>
      <c r="DT16" s="107">
        <f t="shared" si="59"/>
        <v>4032</v>
      </c>
      <c r="DU16" s="107">
        <f t="shared" si="60"/>
        <v>291</v>
      </c>
      <c r="DV16" s="107">
        <f t="shared" si="61"/>
        <v>1891</v>
      </c>
      <c r="DW16" s="107">
        <f t="shared" si="62"/>
        <v>1133</v>
      </c>
      <c r="DX16" s="107">
        <f t="shared" si="63"/>
        <v>717</v>
      </c>
      <c r="DY16" s="108">
        <f t="shared" si="64"/>
        <v>7.2172619047619041E-2</v>
      </c>
      <c r="DZ16" s="108">
        <f t="shared" si="65"/>
        <v>0.46899801587301587</v>
      </c>
      <c r="EA16" s="108">
        <f t="shared" si="66"/>
        <v>0.45882936507936506</v>
      </c>
      <c r="EB16" s="107">
        <v>2580</v>
      </c>
      <c r="EC16" s="110">
        <v>257</v>
      </c>
      <c r="ED16" s="108">
        <f t="shared" si="67"/>
        <v>9.9612403100775196E-2</v>
      </c>
      <c r="EE16" s="107">
        <v>561</v>
      </c>
      <c r="EF16" s="108">
        <f t="shared" si="67"/>
        <v>0.21744186046511627</v>
      </c>
      <c r="EG16" s="107">
        <v>973</v>
      </c>
      <c r="EH16" s="108">
        <f t="shared" ref="EH16" si="160">EG16/$EB16</f>
        <v>0.37713178294573646</v>
      </c>
      <c r="EI16" s="107">
        <v>1333</v>
      </c>
      <c r="EJ16" s="108">
        <f t="shared" ref="EJ16" si="161">EI16/$EB16</f>
        <v>0.51666666666666672</v>
      </c>
      <c r="EK16" s="107">
        <v>1803</v>
      </c>
      <c r="EL16" s="108">
        <f t="shared" ref="EL16" si="162">EK16/$EB16</f>
        <v>0.69883720930232562</v>
      </c>
      <c r="EM16" s="107">
        <v>2178</v>
      </c>
      <c r="EN16" s="108">
        <f t="shared" ref="EN16" si="163">EM16/$EB16</f>
        <v>0.84418604651162787</v>
      </c>
      <c r="EO16" s="163">
        <v>64094</v>
      </c>
      <c r="EP16" s="163">
        <v>62692</v>
      </c>
      <c r="EQ16" s="163">
        <v>81971</v>
      </c>
      <c r="ER16" s="163">
        <v>76094</v>
      </c>
      <c r="ES16" s="163">
        <v>48045</v>
      </c>
      <c r="ET16" s="107">
        <v>1894</v>
      </c>
      <c r="EU16" s="107">
        <v>148</v>
      </c>
      <c r="EV16" s="108">
        <f t="shared" si="72"/>
        <v>7.8141499472016901E-2</v>
      </c>
      <c r="EW16" s="107">
        <v>1983</v>
      </c>
      <c r="EX16" s="107">
        <v>235</v>
      </c>
      <c r="EY16" s="108">
        <f t="shared" si="73"/>
        <v>0.11850731215330308</v>
      </c>
      <c r="EZ16" s="107">
        <f t="shared" si="74"/>
        <v>3877</v>
      </c>
      <c r="FA16" s="107">
        <f t="shared" si="75"/>
        <v>383</v>
      </c>
      <c r="FB16" s="108">
        <f t="shared" si="76"/>
        <v>9.8787722465824096E-2</v>
      </c>
      <c r="FC16" s="107">
        <v>3877</v>
      </c>
      <c r="FD16" s="107">
        <v>383</v>
      </c>
      <c r="FE16" s="108">
        <f t="shared" si="77"/>
        <v>9.8787722465824096E-2</v>
      </c>
      <c r="FF16" s="107">
        <v>743</v>
      </c>
      <c r="FG16" s="108">
        <f t="shared" si="77"/>
        <v>0.19164302295589372</v>
      </c>
      <c r="FH16" s="107">
        <v>1055</v>
      </c>
      <c r="FI16" s="108">
        <f t="shared" ref="FI16" si="164">FH16/$FC16</f>
        <v>0.27211761671395407</v>
      </c>
      <c r="FJ16" s="107">
        <v>1210</v>
      </c>
      <c r="FK16" s="108">
        <f t="shared" ref="FK16" si="165">FJ16/$FC16</f>
        <v>0.31209698220273407</v>
      </c>
      <c r="FL16" s="107">
        <v>1903</v>
      </c>
      <c r="FM16" s="108">
        <f t="shared" ref="FM16" si="166">FL16/$FC16</f>
        <v>0.49084343564611815</v>
      </c>
      <c r="FN16" s="107">
        <v>212</v>
      </c>
      <c r="FO16" s="108">
        <v>0.17535153019023986</v>
      </c>
      <c r="FP16" s="107">
        <v>0</v>
      </c>
      <c r="FQ16" s="108">
        <v>0</v>
      </c>
      <c r="FR16" s="107">
        <v>83</v>
      </c>
      <c r="FS16" s="108">
        <v>0.10751295336787564</v>
      </c>
      <c r="FT16" s="110">
        <v>1</v>
      </c>
      <c r="FU16" s="108">
        <v>1.2953367875647669E-3</v>
      </c>
      <c r="FV16" s="107">
        <v>280</v>
      </c>
      <c r="FW16" s="108">
        <v>0.24034334763948498</v>
      </c>
      <c r="FX16" s="107">
        <v>4</v>
      </c>
      <c r="FY16" s="108">
        <v>3.4334763948497852E-3</v>
      </c>
      <c r="FZ16" s="107">
        <v>30</v>
      </c>
      <c r="GA16" s="108">
        <v>3.3860045146726865E-2</v>
      </c>
      <c r="GB16" s="107">
        <v>33</v>
      </c>
      <c r="GC16" s="108">
        <v>3.724604966139955E-2</v>
      </c>
      <c r="GD16" s="107">
        <v>605</v>
      </c>
      <c r="GE16" s="117">
        <v>0.15004960317460317</v>
      </c>
      <c r="GF16" s="107">
        <v>38</v>
      </c>
      <c r="GG16" s="117">
        <v>9.4246031746031741E-3</v>
      </c>
      <c r="GH16" s="107">
        <v>2580</v>
      </c>
      <c r="GI16" s="107">
        <v>447</v>
      </c>
      <c r="GJ16" s="108">
        <f t="shared" si="81"/>
        <v>0.17325581395348838</v>
      </c>
      <c r="GK16" s="107">
        <v>197</v>
      </c>
      <c r="GL16" s="108">
        <f t="shared" si="82"/>
        <v>0.4407158836689038</v>
      </c>
      <c r="GM16" s="107">
        <v>152</v>
      </c>
      <c r="GN16" s="108">
        <f t="shared" si="83"/>
        <v>0.34004474272930652</v>
      </c>
      <c r="GO16" s="107">
        <v>2133</v>
      </c>
      <c r="GP16" s="108">
        <f t="shared" si="84"/>
        <v>0.82674418604651168</v>
      </c>
      <c r="GQ16" s="107">
        <v>1609</v>
      </c>
      <c r="GR16" s="108">
        <f t="shared" si="85"/>
        <v>0.75433661509610872</v>
      </c>
      <c r="GS16" s="107">
        <v>512</v>
      </c>
      <c r="GT16" s="108">
        <f t="shared" si="86"/>
        <v>0.24003750586029068</v>
      </c>
    </row>
    <row r="17" spans="1:202" x14ac:dyDescent="0.25">
      <c r="A17" s="104" t="s">
        <v>189</v>
      </c>
      <c r="B17" s="143">
        <v>572674</v>
      </c>
      <c r="C17" s="143">
        <v>116841</v>
      </c>
      <c r="D17" s="143">
        <v>86269</v>
      </c>
      <c r="E17" s="143">
        <v>33690</v>
      </c>
      <c r="F17" s="143">
        <v>9551</v>
      </c>
      <c r="G17" s="144">
        <f t="shared" si="2"/>
        <v>0.2040270729944087</v>
      </c>
      <c r="H17" s="144">
        <f t="shared" si="3"/>
        <v>0.15064242483507195</v>
      </c>
      <c r="I17" s="144">
        <f t="shared" si="4"/>
        <v>5.882928158079466E-2</v>
      </c>
      <c r="J17" s="144">
        <f t="shared" si="5"/>
        <v>1.6677900515825756E-2</v>
      </c>
      <c r="K17" s="143">
        <v>39271</v>
      </c>
      <c r="L17" s="145">
        <f t="shared" si="6"/>
        <v>0.45521566263663654</v>
      </c>
      <c r="M17" s="143">
        <v>46998</v>
      </c>
      <c r="N17" s="145">
        <f t="shared" si="7"/>
        <v>0.5447843373633634</v>
      </c>
      <c r="O17" s="148">
        <v>35.700000000000003</v>
      </c>
      <c r="P17" s="107">
        <v>251529</v>
      </c>
      <c r="Q17" s="107">
        <v>80141</v>
      </c>
      <c r="R17" s="108">
        <f t="shared" si="8"/>
        <v>0.31861534852840029</v>
      </c>
      <c r="S17" s="107">
        <v>61406</v>
      </c>
      <c r="T17" s="149">
        <f t="shared" si="9"/>
        <v>0.24413089544346775</v>
      </c>
      <c r="U17" s="143">
        <v>39271</v>
      </c>
      <c r="V17" s="107">
        <v>2946</v>
      </c>
      <c r="W17" s="108">
        <f t="shared" si="10"/>
        <v>7.5017188255964956E-2</v>
      </c>
      <c r="X17" s="107">
        <v>27462</v>
      </c>
      <c r="Y17" s="150">
        <f t="shared" si="11"/>
        <v>0.69929464490336379</v>
      </c>
      <c r="Z17" s="107">
        <v>1071</v>
      </c>
      <c r="AA17" s="108">
        <f t="shared" si="12"/>
        <v>2.727203279773879E-2</v>
      </c>
      <c r="AB17" s="107">
        <v>3380</v>
      </c>
      <c r="AC17" s="108">
        <f t="shared" si="13"/>
        <v>8.6068600239362386E-2</v>
      </c>
      <c r="AD17" s="107">
        <v>4412</v>
      </c>
      <c r="AE17" s="108">
        <f t="shared" si="14"/>
        <v>0.11234753380357007</v>
      </c>
      <c r="AF17" s="107">
        <v>46998</v>
      </c>
      <c r="AG17" s="107">
        <v>3832</v>
      </c>
      <c r="AH17" s="108">
        <f t="shared" si="15"/>
        <v>8.1535384484446152E-2</v>
      </c>
      <c r="AI17" s="107">
        <v>22639</v>
      </c>
      <c r="AJ17" s="108">
        <f t="shared" si="16"/>
        <v>0.4817013489935742</v>
      </c>
      <c r="AK17" s="107">
        <v>1065</v>
      </c>
      <c r="AL17" s="108">
        <f t="shared" si="17"/>
        <v>2.2660538746329631E-2</v>
      </c>
      <c r="AM17" s="107">
        <v>11107</v>
      </c>
      <c r="AN17" s="108">
        <f t="shared" si="18"/>
        <v>0.23632920549810629</v>
      </c>
      <c r="AO17" s="107">
        <v>8355</v>
      </c>
      <c r="AP17" s="108">
        <f t="shared" si="19"/>
        <v>0.17777352227754373</v>
      </c>
      <c r="AQ17" s="107">
        <f t="shared" si="20"/>
        <v>86269</v>
      </c>
      <c r="AR17" s="107">
        <f t="shared" si="21"/>
        <v>6778</v>
      </c>
      <c r="AS17" s="108">
        <f t="shared" si="22"/>
        <v>7.8568199469102457E-2</v>
      </c>
      <c r="AT17" s="107">
        <f t="shared" si="23"/>
        <v>50101</v>
      </c>
      <c r="AU17" s="108">
        <f t="shared" si="24"/>
        <v>0.58075322537643881</v>
      </c>
      <c r="AV17" s="107">
        <f t="shared" si="25"/>
        <v>2136</v>
      </c>
      <c r="AW17" s="108">
        <f t="shared" si="26"/>
        <v>2.4759763066686757E-2</v>
      </c>
      <c r="AX17" s="107">
        <f t="shared" si="27"/>
        <v>14487</v>
      </c>
      <c r="AY17" s="108">
        <f t="shared" si="28"/>
        <v>0.1679282245070651</v>
      </c>
      <c r="AZ17" s="107">
        <f t="shared" si="29"/>
        <v>12767</v>
      </c>
      <c r="BA17" s="108">
        <f t="shared" si="30"/>
        <v>0.14799058758070685</v>
      </c>
      <c r="BB17" s="111">
        <v>38702</v>
      </c>
      <c r="BC17" s="111">
        <v>8747</v>
      </c>
      <c r="BD17" s="152">
        <f t="shared" si="31"/>
        <v>0.22600899178337036</v>
      </c>
      <c r="BE17" s="111">
        <v>46005</v>
      </c>
      <c r="BF17" s="111">
        <v>11511</v>
      </c>
      <c r="BG17" s="152">
        <f t="shared" si="0"/>
        <v>0.2502119334854907</v>
      </c>
      <c r="BH17" s="153">
        <f t="shared" si="32"/>
        <v>84707</v>
      </c>
      <c r="BI17" s="153">
        <f t="shared" si="33"/>
        <v>20258</v>
      </c>
      <c r="BJ17" s="154">
        <f t="shared" si="34"/>
        <v>0.23915378894306255</v>
      </c>
      <c r="BK17" s="107">
        <v>86269</v>
      </c>
      <c r="BL17" s="107">
        <v>24873</v>
      </c>
      <c r="BM17" s="108">
        <f t="shared" si="87"/>
        <v>0.28831909492401675</v>
      </c>
      <c r="BN17" s="107">
        <v>39271</v>
      </c>
      <c r="BO17" s="107">
        <v>7810</v>
      </c>
      <c r="BP17" s="108">
        <f t="shared" si="35"/>
        <v>0.19887448753533141</v>
      </c>
      <c r="BQ17" s="107">
        <v>46998</v>
      </c>
      <c r="BR17" s="107">
        <v>17063</v>
      </c>
      <c r="BS17" s="108">
        <f t="shared" si="36"/>
        <v>0.36305800246819014</v>
      </c>
      <c r="BT17" s="113">
        <v>588347</v>
      </c>
      <c r="BU17" s="113">
        <v>92821</v>
      </c>
      <c r="BV17" s="156">
        <f t="shared" si="37"/>
        <v>0.15776574028591969</v>
      </c>
      <c r="BW17" s="156">
        <f t="shared" si="38"/>
        <v>1</v>
      </c>
      <c r="BX17" s="113">
        <v>445504</v>
      </c>
      <c r="BY17" s="113">
        <v>85681</v>
      </c>
      <c r="BZ17" s="156">
        <f t="shared" si="39"/>
        <v>0.1923237501795719</v>
      </c>
      <c r="CA17" s="156">
        <f t="shared" si="40"/>
        <v>0.92307775180185514</v>
      </c>
      <c r="CB17" s="113">
        <v>33968</v>
      </c>
      <c r="CC17" s="113">
        <v>2066</v>
      </c>
      <c r="CD17" s="156">
        <f t="shared" si="41"/>
        <v>6.0821950070654732E-2</v>
      </c>
      <c r="CE17" s="156">
        <f t="shared" si="88"/>
        <v>2.2257894226522017E-2</v>
      </c>
      <c r="CF17" s="113">
        <v>1612</v>
      </c>
      <c r="CG17" s="113">
        <v>133</v>
      </c>
      <c r="CH17" s="156">
        <f t="shared" si="42"/>
        <v>8.2506203473945411E-2</v>
      </c>
      <c r="CI17" s="156">
        <f t="shared" si="43"/>
        <v>1.4328654076125014E-3</v>
      </c>
      <c r="CJ17" s="113">
        <v>42989</v>
      </c>
      <c r="CK17" s="113">
        <v>2469</v>
      </c>
      <c r="CL17" s="161">
        <f t="shared" si="44"/>
        <v>5.743329688990207E-2</v>
      </c>
      <c r="CM17" s="156">
        <f t="shared" si="45"/>
        <v>2.659958414582907E-2</v>
      </c>
      <c r="CN17" s="113">
        <v>174</v>
      </c>
      <c r="CO17" s="113">
        <v>22</v>
      </c>
      <c r="CP17" s="161">
        <f t="shared" si="46"/>
        <v>0.12643678160919541</v>
      </c>
      <c r="CQ17" s="156">
        <f t="shared" si="47"/>
        <v>2.3701533058251905E-4</v>
      </c>
      <c r="CR17" s="105">
        <v>8812</v>
      </c>
      <c r="CS17" s="105">
        <v>186</v>
      </c>
      <c r="CT17" s="106">
        <f t="shared" si="48"/>
        <v>2.1107580571947344E-2</v>
      </c>
      <c r="CU17" s="106">
        <f t="shared" si="49"/>
        <v>2.0038568858340247E-3</v>
      </c>
      <c r="CV17" s="113">
        <v>15717</v>
      </c>
      <c r="CW17" s="113">
        <v>388</v>
      </c>
      <c r="CX17" s="156">
        <f t="shared" si="50"/>
        <v>2.4686645034039573E-2</v>
      </c>
      <c r="CY17" s="156">
        <f t="shared" si="51"/>
        <v>4.1800885575462446E-3</v>
      </c>
      <c r="CZ17" s="113">
        <v>48383</v>
      </c>
      <c r="DA17" s="113">
        <v>2062</v>
      </c>
      <c r="DB17" s="156">
        <f t="shared" si="52"/>
        <v>4.2618275013951185E-2</v>
      </c>
      <c r="DC17" s="156">
        <f t="shared" si="89"/>
        <v>2.2214800530052467E-2</v>
      </c>
      <c r="DD17" s="107">
        <v>39271</v>
      </c>
      <c r="DE17" s="107">
        <v>1657</v>
      </c>
      <c r="DF17" s="107">
        <v>9414</v>
      </c>
      <c r="DG17" s="107">
        <v>9048</v>
      </c>
      <c r="DH17" s="107">
        <v>19152</v>
      </c>
      <c r="DI17" s="149">
        <f t="shared" si="53"/>
        <v>4.2193985383616406E-2</v>
      </c>
      <c r="DJ17" s="149">
        <f t="shared" si="54"/>
        <v>0.23971887652466198</v>
      </c>
      <c r="DK17" s="149">
        <f t="shared" si="55"/>
        <v>0.71808713809172164</v>
      </c>
      <c r="DL17" s="107">
        <v>46998</v>
      </c>
      <c r="DM17" s="107">
        <v>1736</v>
      </c>
      <c r="DN17" s="107">
        <v>13024</v>
      </c>
      <c r="DO17" s="107">
        <v>12882</v>
      </c>
      <c r="DP17" s="107">
        <v>19356</v>
      </c>
      <c r="DQ17" s="149">
        <f t="shared" si="56"/>
        <v>3.6937742031575814E-2</v>
      </c>
      <c r="DR17" s="149">
        <f t="shared" si="57"/>
        <v>0.27711817524149962</v>
      </c>
      <c r="DS17" s="149">
        <f t="shared" si="58"/>
        <v>0.68594408272692453</v>
      </c>
      <c r="DT17" s="107">
        <f t="shared" si="59"/>
        <v>86269</v>
      </c>
      <c r="DU17" s="107">
        <f t="shared" si="60"/>
        <v>3393</v>
      </c>
      <c r="DV17" s="107">
        <f t="shared" si="61"/>
        <v>22438</v>
      </c>
      <c r="DW17" s="107">
        <f t="shared" si="62"/>
        <v>21930</v>
      </c>
      <c r="DX17" s="107">
        <f t="shared" si="63"/>
        <v>38508</v>
      </c>
      <c r="DY17" s="108">
        <f t="shared" si="64"/>
        <v>3.9330466332054385E-2</v>
      </c>
      <c r="DZ17" s="108">
        <f t="shared" si="65"/>
        <v>0.26009342869396884</v>
      </c>
      <c r="EA17" s="108">
        <f t="shared" si="66"/>
        <v>0.70057610497397671</v>
      </c>
      <c r="EB17" s="107">
        <v>55214</v>
      </c>
      <c r="EC17" s="110">
        <v>3075</v>
      </c>
      <c r="ED17" s="108">
        <f t="shared" si="67"/>
        <v>5.5692396855869887E-2</v>
      </c>
      <c r="EE17" s="107">
        <v>6401</v>
      </c>
      <c r="EF17" s="108">
        <f t="shared" si="67"/>
        <v>0.11593074220306444</v>
      </c>
      <c r="EG17" s="107">
        <v>10985</v>
      </c>
      <c r="EH17" s="108">
        <f t="shared" ref="EH17" si="167">EG17/$EB17</f>
        <v>0.19895316405259536</v>
      </c>
      <c r="EI17" s="107">
        <v>17033</v>
      </c>
      <c r="EJ17" s="108">
        <f t="shared" ref="EJ17" si="168">EI17/$EB17</f>
        <v>0.30849060021009167</v>
      </c>
      <c r="EK17" s="107">
        <v>28459</v>
      </c>
      <c r="EL17" s="108">
        <f t="shared" ref="EL17" si="169">EK17/$EB17</f>
        <v>0.51543086898250445</v>
      </c>
      <c r="EM17" s="107">
        <v>36015</v>
      </c>
      <c r="EN17" s="108">
        <f t="shared" ref="EN17" si="170">EM17/$EB17</f>
        <v>0.65228021878509079</v>
      </c>
      <c r="EO17" s="163">
        <v>89975</v>
      </c>
      <c r="EP17" s="163">
        <v>40002</v>
      </c>
      <c r="EQ17" s="163">
        <v>101525</v>
      </c>
      <c r="ER17" s="163">
        <v>115057</v>
      </c>
      <c r="ES17" s="163">
        <v>72639</v>
      </c>
      <c r="ET17" s="107">
        <v>38702</v>
      </c>
      <c r="EU17" s="107">
        <v>2246</v>
      </c>
      <c r="EV17" s="108">
        <f t="shared" si="72"/>
        <v>5.8033176580021703E-2</v>
      </c>
      <c r="EW17" s="107">
        <v>46005</v>
      </c>
      <c r="EX17" s="107">
        <v>2837</v>
      </c>
      <c r="EY17" s="108">
        <f t="shared" si="73"/>
        <v>6.1667210085860236E-2</v>
      </c>
      <c r="EZ17" s="107">
        <f t="shared" si="74"/>
        <v>84707</v>
      </c>
      <c r="FA17" s="107">
        <f t="shared" si="75"/>
        <v>5083</v>
      </c>
      <c r="FB17" s="108">
        <f t="shared" si="76"/>
        <v>6.0006847131878122E-2</v>
      </c>
      <c r="FC17" s="107">
        <v>84707</v>
      </c>
      <c r="FD17" s="107">
        <v>5083</v>
      </c>
      <c r="FE17" s="108">
        <f t="shared" si="77"/>
        <v>6.0006847131878122E-2</v>
      </c>
      <c r="FF17" s="107">
        <v>8593</v>
      </c>
      <c r="FG17" s="108">
        <f t="shared" si="77"/>
        <v>0.10144380039430036</v>
      </c>
      <c r="FH17" s="107">
        <v>11896</v>
      </c>
      <c r="FI17" s="108">
        <f t="shared" ref="FI17" si="171">FH17/$FC17</f>
        <v>0.14043703590022077</v>
      </c>
      <c r="FJ17" s="107">
        <v>13924</v>
      </c>
      <c r="FK17" s="108">
        <f t="shared" ref="FK17" si="172">FJ17/$FC17</f>
        <v>0.16437838667406471</v>
      </c>
      <c r="FL17" s="107">
        <v>25885</v>
      </c>
      <c r="FM17" s="108">
        <f t="shared" ref="FM17" si="173">FL17/$FC17</f>
        <v>0.30558277356062663</v>
      </c>
      <c r="FN17" s="107">
        <v>8133</v>
      </c>
      <c r="FO17" s="108">
        <v>0.32645606711355518</v>
      </c>
      <c r="FP17" s="107">
        <v>139</v>
      </c>
      <c r="FQ17" s="108">
        <v>5.579416368963995E-3</v>
      </c>
      <c r="FR17" s="107">
        <v>1357</v>
      </c>
      <c r="FS17" s="108">
        <v>9.4511770441565682E-2</v>
      </c>
      <c r="FT17" s="110">
        <v>10</v>
      </c>
      <c r="FU17" s="108">
        <v>6.9647583228861954E-4</v>
      </c>
      <c r="FV17" s="107">
        <v>6397</v>
      </c>
      <c r="FW17" s="108">
        <v>0.23122243909491794</v>
      </c>
      <c r="FX17" s="107">
        <v>75</v>
      </c>
      <c r="FY17" s="108">
        <v>2.7109086965950986E-3</v>
      </c>
      <c r="FZ17" s="107">
        <v>1167</v>
      </c>
      <c r="GA17" s="108">
        <v>6.036623215394165E-2</v>
      </c>
      <c r="GB17" s="107">
        <v>40</v>
      </c>
      <c r="GC17" s="108">
        <v>2.0691082143596108E-3</v>
      </c>
      <c r="GD17" s="107">
        <v>17054</v>
      </c>
      <c r="GE17" s="117">
        <v>0.19768398845471721</v>
      </c>
      <c r="GF17" s="107">
        <v>264</v>
      </c>
      <c r="GG17" s="117">
        <v>3.060195435208476E-3</v>
      </c>
      <c r="GH17" s="107">
        <v>55214</v>
      </c>
      <c r="GI17" s="107">
        <v>12775</v>
      </c>
      <c r="GJ17" s="108">
        <f t="shared" si="81"/>
        <v>0.23137247799471147</v>
      </c>
      <c r="GK17" s="107">
        <v>4611</v>
      </c>
      <c r="GL17" s="108">
        <f t="shared" si="82"/>
        <v>0.36093933463796479</v>
      </c>
      <c r="GM17" s="107">
        <v>7328</v>
      </c>
      <c r="GN17" s="108">
        <f t="shared" si="83"/>
        <v>0.57362035225048924</v>
      </c>
      <c r="GO17" s="107">
        <v>42439</v>
      </c>
      <c r="GP17" s="108">
        <f t="shared" si="84"/>
        <v>0.7686275220052885</v>
      </c>
      <c r="GQ17" s="107">
        <v>31785</v>
      </c>
      <c r="GR17" s="108">
        <f t="shared" si="85"/>
        <v>0.74895732698696948</v>
      </c>
      <c r="GS17" s="107">
        <v>10443</v>
      </c>
      <c r="GT17" s="108">
        <f t="shared" si="86"/>
        <v>0.24607083107519026</v>
      </c>
    </row>
    <row r="18" spans="1:202" x14ac:dyDescent="0.25">
      <c r="A18" s="104" t="s">
        <v>190</v>
      </c>
      <c r="B18" s="143">
        <v>88742</v>
      </c>
      <c r="C18" s="143">
        <v>23654</v>
      </c>
      <c r="D18" s="143">
        <v>16859</v>
      </c>
      <c r="E18" s="143">
        <v>6706</v>
      </c>
      <c r="F18" s="143">
        <v>2128</v>
      </c>
      <c r="G18" s="144">
        <f t="shared" si="2"/>
        <v>0.26654797052128643</v>
      </c>
      <c r="H18" s="144">
        <f t="shared" si="3"/>
        <v>0.18997768812963423</v>
      </c>
      <c r="I18" s="144">
        <f t="shared" si="4"/>
        <v>7.5567375087331815E-2</v>
      </c>
      <c r="J18" s="144">
        <f t="shared" si="5"/>
        <v>2.3979626332514482E-2</v>
      </c>
      <c r="K18" s="143">
        <v>7922</v>
      </c>
      <c r="L18" s="145">
        <f t="shared" si="6"/>
        <v>0.46989738418648791</v>
      </c>
      <c r="M18" s="143">
        <v>8937</v>
      </c>
      <c r="N18" s="145">
        <f t="shared" si="7"/>
        <v>0.53010261581351203</v>
      </c>
      <c r="O18" s="148">
        <v>43</v>
      </c>
      <c r="P18" s="107">
        <v>35910</v>
      </c>
      <c r="Q18" s="107">
        <v>16051</v>
      </c>
      <c r="R18" s="108">
        <f t="shared" si="8"/>
        <v>0.44697855750487331</v>
      </c>
      <c r="S18" s="107">
        <v>11819</v>
      </c>
      <c r="T18" s="149">
        <f t="shared" si="9"/>
        <v>0.32912837649679755</v>
      </c>
      <c r="U18" s="143">
        <v>7922</v>
      </c>
      <c r="V18" s="107">
        <v>658</v>
      </c>
      <c r="W18" s="108">
        <f t="shared" si="10"/>
        <v>8.3059833375410244E-2</v>
      </c>
      <c r="X18" s="107">
        <v>5301</v>
      </c>
      <c r="Y18" s="150">
        <f t="shared" si="11"/>
        <v>0.66914920474627615</v>
      </c>
      <c r="Z18" s="107">
        <v>166</v>
      </c>
      <c r="AA18" s="108">
        <f t="shared" si="12"/>
        <v>2.0954304468568542E-2</v>
      </c>
      <c r="AB18" s="107">
        <v>1005</v>
      </c>
      <c r="AC18" s="108">
        <f t="shared" si="13"/>
        <v>0.12686190355970714</v>
      </c>
      <c r="AD18" s="107">
        <v>792</v>
      </c>
      <c r="AE18" s="108">
        <f t="shared" si="14"/>
        <v>9.9974753850037873E-2</v>
      </c>
      <c r="AF18" s="107">
        <v>8937</v>
      </c>
      <c r="AG18" s="107">
        <v>622</v>
      </c>
      <c r="AH18" s="108">
        <f t="shared" si="15"/>
        <v>6.9598299205549954E-2</v>
      </c>
      <c r="AI18" s="107">
        <v>4073</v>
      </c>
      <c r="AJ18" s="108">
        <f t="shared" si="16"/>
        <v>0.45574577598746785</v>
      </c>
      <c r="AK18" s="107">
        <v>216</v>
      </c>
      <c r="AL18" s="108">
        <f t="shared" si="17"/>
        <v>2.4169184290030211E-2</v>
      </c>
      <c r="AM18" s="107">
        <v>2462</v>
      </c>
      <c r="AN18" s="108">
        <f t="shared" si="18"/>
        <v>0.27548394315765917</v>
      </c>
      <c r="AO18" s="107">
        <v>1564</v>
      </c>
      <c r="AP18" s="108">
        <f t="shared" si="19"/>
        <v>0.17500279735929283</v>
      </c>
      <c r="AQ18" s="107">
        <f t="shared" si="20"/>
        <v>16859</v>
      </c>
      <c r="AR18" s="107">
        <f t="shared" si="21"/>
        <v>1280</v>
      </c>
      <c r="AS18" s="108">
        <f t="shared" si="22"/>
        <v>7.592383889910434E-2</v>
      </c>
      <c r="AT18" s="107">
        <f t="shared" si="23"/>
        <v>9374</v>
      </c>
      <c r="AU18" s="108">
        <f t="shared" si="24"/>
        <v>0.5560234889376594</v>
      </c>
      <c r="AV18" s="107">
        <f t="shared" si="25"/>
        <v>382</v>
      </c>
      <c r="AW18" s="108">
        <f t="shared" si="26"/>
        <v>2.2658520671451451E-2</v>
      </c>
      <c r="AX18" s="107">
        <f t="shared" si="27"/>
        <v>3467</v>
      </c>
      <c r="AY18" s="108">
        <f t="shared" si="28"/>
        <v>0.20564683551812088</v>
      </c>
      <c r="AZ18" s="107">
        <f t="shared" si="29"/>
        <v>2356</v>
      </c>
      <c r="BA18" s="108">
        <f t="shared" si="30"/>
        <v>0.13974731597366391</v>
      </c>
      <c r="BB18" s="111">
        <v>7667</v>
      </c>
      <c r="BC18" s="111">
        <v>2273</v>
      </c>
      <c r="BD18" s="152">
        <f t="shared" si="31"/>
        <v>0.29646537107082299</v>
      </c>
      <c r="BE18" s="111">
        <v>8464</v>
      </c>
      <c r="BF18" s="111">
        <v>2498</v>
      </c>
      <c r="BG18" s="152">
        <f t="shared" si="0"/>
        <v>0.29513232514177695</v>
      </c>
      <c r="BH18" s="153">
        <f t="shared" si="32"/>
        <v>16131</v>
      </c>
      <c r="BI18" s="153">
        <f t="shared" si="33"/>
        <v>4771</v>
      </c>
      <c r="BJ18" s="154">
        <f t="shared" si="34"/>
        <v>0.29576591655817991</v>
      </c>
      <c r="BK18" s="107">
        <v>16859</v>
      </c>
      <c r="BL18" s="107">
        <v>4956</v>
      </c>
      <c r="BM18" s="108">
        <f t="shared" si="87"/>
        <v>0.2939676137374696</v>
      </c>
      <c r="BN18" s="107">
        <v>7922</v>
      </c>
      <c r="BO18" s="107">
        <v>1633</v>
      </c>
      <c r="BP18" s="108">
        <f t="shared" si="35"/>
        <v>0.20613481444079779</v>
      </c>
      <c r="BQ18" s="107">
        <v>8937</v>
      </c>
      <c r="BR18" s="107">
        <v>3323</v>
      </c>
      <c r="BS18" s="108">
        <f t="shared" si="36"/>
        <v>0.37182499720264073</v>
      </c>
      <c r="BT18" s="113">
        <v>88635</v>
      </c>
      <c r="BU18" s="113">
        <v>17897</v>
      </c>
      <c r="BV18" s="156">
        <f t="shared" si="37"/>
        <v>0.20191797822530602</v>
      </c>
      <c r="BW18" s="156">
        <f t="shared" si="38"/>
        <v>1</v>
      </c>
      <c r="BX18" s="113">
        <v>77562</v>
      </c>
      <c r="BY18" s="113">
        <v>17331</v>
      </c>
      <c r="BZ18" s="156">
        <f t="shared" si="39"/>
        <v>0.22344704881256286</v>
      </c>
      <c r="CA18" s="156">
        <f t="shared" si="40"/>
        <v>0.96837458791976305</v>
      </c>
      <c r="CB18" s="113">
        <v>2589</v>
      </c>
      <c r="CC18" s="113">
        <v>63</v>
      </c>
      <c r="CD18" s="156">
        <f t="shared" si="41"/>
        <v>2.4333719582850522E-2</v>
      </c>
      <c r="CE18" s="156">
        <f t="shared" si="88"/>
        <v>3.5201430407330839E-3</v>
      </c>
      <c r="CF18" s="113">
        <v>451</v>
      </c>
      <c r="CG18" s="113">
        <v>60</v>
      </c>
      <c r="CH18" s="156">
        <f t="shared" si="42"/>
        <v>0.13303769401330376</v>
      </c>
      <c r="CI18" s="156">
        <f t="shared" si="43"/>
        <v>3.3525171816505559E-3</v>
      </c>
      <c r="CJ18" s="113">
        <v>662</v>
      </c>
      <c r="CK18" s="113">
        <v>64</v>
      </c>
      <c r="CL18" s="161">
        <f t="shared" si="44"/>
        <v>9.6676737160120846E-2</v>
      </c>
      <c r="CM18" s="156">
        <f t="shared" si="45"/>
        <v>3.5760183270939264E-3</v>
      </c>
      <c r="CN18" s="113">
        <v>47</v>
      </c>
      <c r="CO18" s="113">
        <v>4</v>
      </c>
      <c r="CP18" s="161">
        <f t="shared" si="46"/>
        <v>8.5106382978723402E-2</v>
      </c>
      <c r="CQ18" s="156">
        <f t="shared" si="47"/>
        <v>2.235011454433704E-4</v>
      </c>
      <c r="CR18" s="105">
        <v>564</v>
      </c>
      <c r="CS18" s="105">
        <v>15</v>
      </c>
      <c r="CT18" s="106">
        <f t="shared" si="48"/>
        <v>2.6595744680851064E-2</v>
      </c>
      <c r="CU18" s="106">
        <f t="shared" si="49"/>
        <v>8.3812929541263897E-4</v>
      </c>
      <c r="CV18" s="113">
        <v>975</v>
      </c>
      <c r="CW18" s="113">
        <v>68</v>
      </c>
      <c r="CX18" s="156">
        <f t="shared" si="50"/>
        <v>6.974358974358974E-2</v>
      </c>
      <c r="CY18" s="156">
        <f t="shared" si="51"/>
        <v>3.799519472537297E-3</v>
      </c>
      <c r="CZ18" s="113">
        <v>6349</v>
      </c>
      <c r="DA18" s="113">
        <v>307</v>
      </c>
      <c r="DB18" s="156">
        <f t="shared" si="52"/>
        <v>4.8354071507323987E-2</v>
      </c>
      <c r="DC18" s="156">
        <f t="shared" si="89"/>
        <v>1.7153712912778677E-2</v>
      </c>
      <c r="DD18" s="107">
        <v>7922</v>
      </c>
      <c r="DE18" s="107">
        <v>775</v>
      </c>
      <c r="DF18" s="107">
        <v>3599</v>
      </c>
      <c r="DG18" s="107">
        <v>2001</v>
      </c>
      <c r="DH18" s="107">
        <v>1547</v>
      </c>
      <c r="DI18" s="149">
        <f t="shared" si="53"/>
        <v>9.7828831103256755E-2</v>
      </c>
      <c r="DJ18" s="149">
        <f t="shared" si="54"/>
        <v>0.45430446856854328</v>
      </c>
      <c r="DK18" s="149">
        <f t="shared" si="55"/>
        <v>0.44786670032819997</v>
      </c>
      <c r="DL18" s="107">
        <v>8937</v>
      </c>
      <c r="DM18" s="107">
        <v>864</v>
      </c>
      <c r="DN18" s="107">
        <v>4400</v>
      </c>
      <c r="DO18" s="107">
        <v>2197</v>
      </c>
      <c r="DP18" s="107">
        <v>1476</v>
      </c>
      <c r="DQ18" s="149">
        <f t="shared" si="56"/>
        <v>9.6676737160120846E-2</v>
      </c>
      <c r="DR18" s="149">
        <f t="shared" si="57"/>
        <v>0.49233523553765246</v>
      </c>
      <c r="DS18" s="149">
        <f t="shared" si="58"/>
        <v>0.41098802730222672</v>
      </c>
      <c r="DT18" s="107">
        <f t="shared" si="59"/>
        <v>16859</v>
      </c>
      <c r="DU18" s="107">
        <f t="shared" si="60"/>
        <v>1639</v>
      </c>
      <c r="DV18" s="107">
        <f t="shared" si="61"/>
        <v>7999</v>
      </c>
      <c r="DW18" s="107">
        <f t="shared" si="62"/>
        <v>4198</v>
      </c>
      <c r="DX18" s="107">
        <f t="shared" si="63"/>
        <v>3023</v>
      </c>
      <c r="DY18" s="108">
        <f t="shared" si="64"/>
        <v>9.7218103090337502E-2</v>
      </c>
      <c r="DZ18" s="108">
        <f t="shared" si="65"/>
        <v>0.47446467762026218</v>
      </c>
      <c r="EA18" s="108">
        <f t="shared" si="66"/>
        <v>0.42831721928940031</v>
      </c>
      <c r="EB18" s="107">
        <v>10547</v>
      </c>
      <c r="EC18" s="110">
        <v>781</v>
      </c>
      <c r="ED18" s="108">
        <f t="shared" si="67"/>
        <v>7.4049492746752626E-2</v>
      </c>
      <c r="EE18" s="107">
        <v>1975</v>
      </c>
      <c r="EF18" s="108">
        <f t="shared" si="67"/>
        <v>0.18725703991656395</v>
      </c>
      <c r="EG18" s="107">
        <v>3365</v>
      </c>
      <c r="EH18" s="108">
        <f t="shared" ref="EH18" si="174">EG18/$EB18</f>
        <v>0.31904807054138618</v>
      </c>
      <c r="EI18" s="107">
        <v>4995</v>
      </c>
      <c r="EJ18" s="108">
        <f t="shared" ref="EJ18" si="175">EI18/$EB18</f>
        <v>0.47359438702948708</v>
      </c>
      <c r="EK18" s="107">
        <v>7275</v>
      </c>
      <c r="EL18" s="108">
        <f t="shared" ref="EL18" si="176">EK18/$EB18</f>
        <v>0.68976960273063426</v>
      </c>
      <c r="EM18" s="107">
        <v>8643</v>
      </c>
      <c r="EN18" s="108">
        <f t="shared" ref="EN18" si="177">EM18/$EB18</f>
        <v>0.8194747321513226</v>
      </c>
      <c r="EO18" s="163">
        <v>75929</v>
      </c>
      <c r="EP18" s="163">
        <v>48732</v>
      </c>
      <c r="EQ18" s="163">
        <v>85755</v>
      </c>
      <c r="ER18" s="163">
        <v>93705</v>
      </c>
      <c r="ES18" s="163">
        <v>52843</v>
      </c>
      <c r="ET18" s="107">
        <v>7667</v>
      </c>
      <c r="EU18" s="107">
        <v>514</v>
      </c>
      <c r="EV18" s="108">
        <f t="shared" si="72"/>
        <v>6.7040563453762886E-2</v>
      </c>
      <c r="EW18" s="107">
        <v>8464</v>
      </c>
      <c r="EX18" s="107">
        <v>787</v>
      </c>
      <c r="EY18" s="108">
        <f t="shared" si="73"/>
        <v>9.2982041587901701E-2</v>
      </c>
      <c r="EZ18" s="107">
        <f t="shared" si="74"/>
        <v>16131</v>
      </c>
      <c r="FA18" s="107">
        <f t="shared" si="75"/>
        <v>1301</v>
      </c>
      <c r="FB18" s="108">
        <f t="shared" si="76"/>
        <v>8.0652160436426756E-2</v>
      </c>
      <c r="FC18" s="107">
        <v>16131</v>
      </c>
      <c r="FD18" s="107">
        <v>1301</v>
      </c>
      <c r="FE18" s="108">
        <f t="shared" si="77"/>
        <v>8.0652160436426756E-2</v>
      </c>
      <c r="FF18" s="107">
        <v>2540</v>
      </c>
      <c r="FG18" s="108">
        <f t="shared" si="77"/>
        <v>0.15746078978364639</v>
      </c>
      <c r="FH18" s="107">
        <v>3517</v>
      </c>
      <c r="FI18" s="108">
        <f t="shared" ref="FI18" si="178">FH18/$FC18</f>
        <v>0.21802740065711984</v>
      </c>
      <c r="FJ18" s="107">
        <v>4192</v>
      </c>
      <c r="FK18" s="108">
        <f t="shared" ref="FK18" si="179">FJ18/$FC18</f>
        <v>0.25987229557993924</v>
      </c>
      <c r="FL18" s="107">
        <v>7543</v>
      </c>
      <c r="FM18" s="108">
        <f t="shared" ref="FM18" si="180">FL18/$FC18</f>
        <v>0.46760895170789163</v>
      </c>
      <c r="FN18" s="107">
        <v>1407</v>
      </c>
      <c r="FO18" s="108">
        <v>0.28000000000000003</v>
      </c>
      <c r="FP18" s="107">
        <v>5</v>
      </c>
      <c r="FQ18" s="108">
        <v>9.9502487562189048E-4</v>
      </c>
      <c r="FR18" s="107">
        <v>278</v>
      </c>
      <c r="FS18" s="108">
        <v>9.5961339316534347E-2</v>
      </c>
      <c r="FT18" s="110">
        <v>0</v>
      </c>
      <c r="FU18" s="108">
        <v>0</v>
      </c>
      <c r="FV18" s="107">
        <v>1219</v>
      </c>
      <c r="FW18" s="108">
        <v>0.23771450858034321</v>
      </c>
      <c r="FX18" s="107">
        <v>2</v>
      </c>
      <c r="FY18" s="108">
        <v>3.9001560062402497E-4</v>
      </c>
      <c r="FZ18" s="107">
        <v>115</v>
      </c>
      <c r="GA18" s="108">
        <v>3.0191651352060908E-2</v>
      </c>
      <c r="GB18" s="107">
        <v>0</v>
      </c>
      <c r="GC18" s="108">
        <v>0</v>
      </c>
      <c r="GD18" s="107">
        <v>3019</v>
      </c>
      <c r="GE18" s="117">
        <v>0.17907349190343436</v>
      </c>
      <c r="GF18" s="107">
        <v>7</v>
      </c>
      <c r="GG18" s="117">
        <v>4.1520849397947682E-4</v>
      </c>
      <c r="GH18" s="107">
        <v>10547</v>
      </c>
      <c r="GI18" s="107">
        <v>2326</v>
      </c>
      <c r="GJ18" s="108">
        <f t="shared" si="81"/>
        <v>0.22053664549160898</v>
      </c>
      <c r="GK18" s="107">
        <v>980</v>
      </c>
      <c r="GL18" s="108">
        <f t="shared" si="82"/>
        <v>0.42132416165090286</v>
      </c>
      <c r="GM18" s="107">
        <v>1166</v>
      </c>
      <c r="GN18" s="108">
        <f t="shared" si="83"/>
        <v>0.50128976784178847</v>
      </c>
      <c r="GO18" s="107">
        <v>8221</v>
      </c>
      <c r="GP18" s="108">
        <f t="shared" si="84"/>
        <v>0.77946335450839099</v>
      </c>
      <c r="GQ18" s="107">
        <v>6025</v>
      </c>
      <c r="GR18" s="108">
        <f t="shared" si="85"/>
        <v>0.73287921177472326</v>
      </c>
      <c r="GS18" s="107">
        <v>2156</v>
      </c>
      <c r="GT18" s="108">
        <f t="shared" si="86"/>
        <v>0.26225520009731174</v>
      </c>
    </row>
    <row r="19" spans="1:202" x14ac:dyDescent="0.25">
      <c r="A19" s="104" t="s">
        <v>191</v>
      </c>
      <c r="B19" s="143">
        <v>30445</v>
      </c>
      <c r="C19" s="143">
        <v>12622</v>
      </c>
      <c r="D19" s="143">
        <v>9871</v>
      </c>
      <c r="E19" s="143">
        <v>3838</v>
      </c>
      <c r="F19" s="143">
        <v>870</v>
      </c>
      <c r="G19" s="144">
        <f t="shared" si="2"/>
        <v>0.41458367548037445</v>
      </c>
      <c r="H19" s="144">
        <f t="shared" si="3"/>
        <v>0.32422401051075711</v>
      </c>
      <c r="I19" s="144">
        <f t="shared" si="4"/>
        <v>0.12606339300377731</v>
      </c>
      <c r="J19" s="144">
        <f t="shared" si="5"/>
        <v>2.8576120873706683E-2</v>
      </c>
      <c r="K19" s="143">
        <v>4679</v>
      </c>
      <c r="L19" s="145">
        <f t="shared" si="6"/>
        <v>0.47401479080133724</v>
      </c>
      <c r="M19" s="143">
        <v>5192</v>
      </c>
      <c r="N19" s="145">
        <f t="shared" si="7"/>
        <v>0.52598520919866276</v>
      </c>
      <c r="O19" s="148">
        <v>54.3</v>
      </c>
      <c r="P19" s="107">
        <v>14986</v>
      </c>
      <c r="Q19" s="107">
        <v>8526</v>
      </c>
      <c r="R19" s="108">
        <f t="shared" si="8"/>
        <v>0.56893100226878424</v>
      </c>
      <c r="S19" s="107">
        <v>6827</v>
      </c>
      <c r="T19" s="149">
        <f t="shared" si="9"/>
        <v>0.45555852128653412</v>
      </c>
      <c r="U19" s="143">
        <v>4679</v>
      </c>
      <c r="V19" s="107">
        <v>183</v>
      </c>
      <c r="W19" s="108">
        <f t="shared" si="10"/>
        <v>3.9110921136995082E-2</v>
      </c>
      <c r="X19" s="107">
        <v>3437</v>
      </c>
      <c r="Y19" s="150">
        <f t="shared" si="11"/>
        <v>0.73455866638170553</v>
      </c>
      <c r="Z19" s="107">
        <v>170</v>
      </c>
      <c r="AA19" s="108">
        <f t="shared" si="12"/>
        <v>3.6332549690104722E-2</v>
      </c>
      <c r="AB19" s="107">
        <v>365</v>
      </c>
      <c r="AC19" s="108">
        <f t="shared" si="13"/>
        <v>7.8008121393460139E-2</v>
      </c>
      <c r="AD19" s="107">
        <v>524</v>
      </c>
      <c r="AE19" s="108">
        <f t="shared" si="14"/>
        <v>0.11198974139773456</v>
      </c>
      <c r="AF19" s="107">
        <v>5192</v>
      </c>
      <c r="AG19" s="107">
        <v>237</v>
      </c>
      <c r="AH19" s="108">
        <f t="shared" si="15"/>
        <v>4.5647149460708782E-2</v>
      </c>
      <c r="AI19" s="107">
        <v>3112</v>
      </c>
      <c r="AJ19" s="108">
        <f t="shared" si="16"/>
        <v>0.59938366718027736</v>
      </c>
      <c r="AK19" s="107">
        <v>32</v>
      </c>
      <c r="AL19" s="108">
        <f t="shared" si="17"/>
        <v>6.1633281972265025E-3</v>
      </c>
      <c r="AM19" s="107">
        <v>1204</v>
      </c>
      <c r="AN19" s="108">
        <f t="shared" si="18"/>
        <v>0.23189522342064714</v>
      </c>
      <c r="AO19" s="107">
        <v>607</v>
      </c>
      <c r="AP19" s="108">
        <f t="shared" si="19"/>
        <v>0.11691063174114022</v>
      </c>
      <c r="AQ19" s="107">
        <f t="shared" si="20"/>
        <v>9871</v>
      </c>
      <c r="AR19" s="107">
        <f t="shared" si="21"/>
        <v>420</v>
      </c>
      <c r="AS19" s="108">
        <f t="shared" si="22"/>
        <v>4.254888055921386E-2</v>
      </c>
      <c r="AT19" s="107">
        <f t="shared" si="23"/>
        <v>6549</v>
      </c>
      <c r="AU19" s="108">
        <f t="shared" si="24"/>
        <v>0.66345861614831325</v>
      </c>
      <c r="AV19" s="107">
        <f t="shared" si="25"/>
        <v>202</v>
      </c>
      <c r="AW19" s="108">
        <f t="shared" si="26"/>
        <v>2.046398541181238E-2</v>
      </c>
      <c r="AX19" s="107">
        <f t="shared" si="27"/>
        <v>1569</v>
      </c>
      <c r="AY19" s="108">
        <f t="shared" si="28"/>
        <v>0.15895046094620605</v>
      </c>
      <c r="AZ19" s="107">
        <f t="shared" si="29"/>
        <v>1131</v>
      </c>
      <c r="BA19" s="108">
        <f t="shared" si="30"/>
        <v>0.11457805693445446</v>
      </c>
      <c r="BB19" s="111">
        <v>4640</v>
      </c>
      <c r="BC19" s="111">
        <v>1219</v>
      </c>
      <c r="BD19" s="152">
        <f t="shared" si="31"/>
        <v>0.26271551724137931</v>
      </c>
      <c r="BE19" s="111">
        <v>5098</v>
      </c>
      <c r="BF19" s="111">
        <v>1060</v>
      </c>
      <c r="BG19" s="152">
        <f t="shared" si="0"/>
        <v>0.20792467634366418</v>
      </c>
      <c r="BH19" s="153">
        <f t="shared" si="32"/>
        <v>9738</v>
      </c>
      <c r="BI19" s="153">
        <f t="shared" si="33"/>
        <v>2279</v>
      </c>
      <c r="BJ19" s="154">
        <f t="shared" si="34"/>
        <v>0.23403162867118504</v>
      </c>
      <c r="BK19" s="107">
        <v>9871</v>
      </c>
      <c r="BL19" s="107">
        <v>2533</v>
      </c>
      <c r="BM19" s="108">
        <f t="shared" si="87"/>
        <v>0.25661027251544932</v>
      </c>
      <c r="BN19" s="107">
        <v>4679</v>
      </c>
      <c r="BO19" s="107">
        <v>950</v>
      </c>
      <c r="BP19" s="108">
        <f t="shared" si="35"/>
        <v>0.20303483650352638</v>
      </c>
      <c r="BQ19" s="107">
        <v>5192</v>
      </c>
      <c r="BR19" s="107">
        <v>1583</v>
      </c>
      <c r="BS19" s="108">
        <f t="shared" si="36"/>
        <v>0.30489214175654855</v>
      </c>
      <c r="BT19" s="113">
        <v>30512</v>
      </c>
      <c r="BU19" s="113">
        <v>10435</v>
      </c>
      <c r="BV19" s="156">
        <f t="shared" si="37"/>
        <v>0.34199659150498163</v>
      </c>
      <c r="BW19" s="156">
        <f t="shared" si="38"/>
        <v>1</v>
      </c>
      <c r="BX19" s="113">
        <v>28085</v>
      </c>
      <c r="BY19" s="113">
        <v>10177</v>
      </c>
      <c r="BZ19" s="156">
        <f t="shared" si="39"/>
        <v>0.3623642513797401</v>
      </c>
      <c r="CA19" s="156">
        <f t="shared" si="40"/>
        <v>0.97527551509343557</v>
      </c>
      <c r="CB19" s="113">
        <v>262</v>
      </c>
      <c r="CC19" s="113">
        <v>33</v>
      </c>
      <c r="CD19" s="156">
        <f t="shared" si="41"/>
        <v>0.12595419847328243</v>
      </c>
      <c r="CE19" s="156">
        <f t="shared" si="88"/>
        <v>3.1624341159559176E-3</v>
      </c>
      <c r="CF19" s="113">
        <v>193</v>
      </c>
      <c r="CG19" s="113">
        <v>39</v>
      </c>
      <c r="CH19" s="156">
        <f t="shared" si="42"/>
        <v>0.20207253886010362</v>
      </c>
      <c r="CI19" s="156">
        <f t="shared" si="43"/>
        <v>3.7374221370388115E-3</v>
      </c>
      <c r="CJ19" s="113">
        <v>182</v>
      </c>
      <c r="CK19" s="113">
        <v>24</v>
      </c>
      <c r="CL19" s="161">
        <f t="shared" si="44"/>
        <v>0.13186813186813187</v>
      </c>
      <c r="CM19" s="156">
        <f t="shared" si="45"/>
        <v>2.2999520843315765E-3</v>
      </c>
      <c r="CN19" s="113">
        <v>14</v>
      </c>
      <c r="CO19" s="113">
        <v>4</v>
      </c>
      <c r="CP19" s="161">
        <f t="shared" si="46"/>
        <v>0.2857142857142857</v>
      </c>
      <c r="CQ19" s="156">
        <f t="shared" si="47"/>
        <v>3.8332534738859609E-4</v>
      </c>
      <c r="CR19" s="105">
        <v>158</v>
      </c>
      <c r="CS19" s="105">
        <v>5</v>
      </c>
      <c r="CT19" s="106">
        <f t="shared" si="48"/>
        <v>3.1645569620253167E-2</v>
      </c>
      <c r="CU19" s="106">
        <f t="shared" si="49"/>
        <v>4.7915668423574511E-4</v>
      </c>
      <c r="CV19" s="113">
        <v>407</v>
      </c>
      <c r="CW19" s="113">
        <v>60</v>
      </c>
      <c r="CX19" s="156">
        <f t="shared" si="50"/>
        <v>0.14742014742014742</v>
      </c>
      <c r="CY19" s="156">
        <f t="shared" si="51"/>
        <v>5.7498802108289409E-3</v>
      </c>
      <c r="CZ19" s="113">
        <v>1369</v>
      </c>
      <c r="DA19" s="113">
        <v>98</v>
      </c>
      <c r="DB19" s="156">
        <f t="shared" si="52"/>
        <v>7.1585098612125642E-2</v>
      </c>
      <c r="DC19" s="156">
        <f t="shared" si="89"/>
        <v>9.391471011020603E-3</v>
      </c>
      <c r="DD19" s="107">
        <v>4679</v>
      </c>
      <c r="DE19" s="107">
        <v>127</v>
      </c>
      <c r="DF19" s="107">
        <v>1270</v>
      </c>
      <c r="DG19" s="107">
        <v>1243</v>
      </c>
      <c r="DH19" s="107">
        <v>2039</v>
      </c>
      <c r="DI19" s="149">
        <f t="shared" si="53"/>
        <v>2.7142551827313528E-2</v>
      </c>
      <c r="DJ19" s="149">
        <f t="shared" si="54"/>
        <v>0.27142551827313527</v>
      </c>
      <c r="DK19" s="149">
        <f t="shared" si="55"/>
        <v>0.70143192989955117</v>
      </c>
      <c r="DL19" s="107">
        <v>5192</v>
      </c>
      <c r="DM19" s="107">
        <v>197</v>
      </c>
      <c r="DN19" s="107">
        <v>1452</v>
      </c>
      <c r="DO19" s="107">
        <v>1272</v>
      </c>
      <c r="DP19" s="107">
        <v>2271</v>
      </c>
      <c r="DQ19" s="149">
        <f t="shared" si="56"/>
        <v>3.7942989214175653E-2</v>
      </c>
      <c r="DR19" s="149">
        <f t="shared" si="57"/>
        <v>0.27966101694915252</v>
      </c>
      <c r="DS19" s="149">
        <f t="shared" si="58"/>
        <v>0.68239599383667182</v>
      </c>
      <c r="DT19" s="107">
        <f t="shared" si="59"/>
        <v>9871</v>
      </c>
      <c r="DU19" s="107">
        <f t="shared" si="60"/>
        <v>324</v>
      </c>
      <c r="DV19" s="107">
        <f t="shared" si="61"/>
        <v>2722</v>
      </c>
      <c r="DW19" s="107">
        <f t="shared" si="62"/>
        <v>2515</v>
      </c>
      <c r="DX19" s="107">
        <f t="shared" si="63"/>
        <v>4310</v>
      </c>
      <c r="DY19" s="108">
        <f t="shared" si="64"/>
        <v>3.2823422145679265E-2</v>
      </c>
      <c r="DZ19" s="108">
        <f t="shared" si="65"/>
        <v>0.27575726876709555</v>
      </c>
      <c r="EA19" s="108">
        <f t="shared" si="66"/>
        <v>0.69141930908722515</v>
      </c>
      <c r="EB19" s="107">
        <v>6319</v>
      </c>
      <c r="EC19" s="110">
        <v>350</v>
      </c>
      <c r="ED19" s="108">
        <f t="shared" si="67"/>
        <v>5.5388510840322834E-2</v>
      </c>
      <c r="EE19" s="107">
        <v>909</v>
      </c>
      <c r="EF19" s="108">
        <f t="shared" si="67"/>
        <v>0.14385187529672416</v>
      </c>
      <c r="EG19" s="107">
        <v>1480</v>
      </c>
      <c r="EH19" s="108">
        <f t="shared" ref="EH19" si="181">EG19/$EB19</f>
        <v>0.23421427441050799</v>
      </c>
      <c r="EI19" s="107">
        <v>2217</v>
      </c>
      <c r="EJ19" s="108">
        <f t="shared" ref="EJ19" si="182">EI19/$EB19</f>
        <v>0.35084665295141637</v>
      </c>
      <c r="EK19" s="107">
        <v>3601</v>
      </c>
      <c r="EL19" s="108">
        <f t="shared" ref="EL19" si="183">EK19/$EB19</f>
        <v>0.56986865010286436</v>
      </c>
      <c r="EM19" s="107">
        <v>4286</v>
      </c>
      <c r="EN19" s="108">
        <f t="shared" ref="EN19" si="184">EM19/$EB19</f>
        <v>0.67827187846178194</v>
      </c>
      <c r="EO19" s="163">
        <v>74795</v>
      </c>
      <c r="EP19" s="163">
        <v>41350</v>
      </c>
      <c r="EQ19" s="163">
        <v>89472</v>
      </c>
      <c r="ER19" s="163">
        <v>84492</v>
      </c>
      <c r="ES19" s="163">
        <v>65046</v>
      </c>
      <c r="ET19" s="107">
        <v>4640</v>
      </c>
      <c r="EU19" s="107">
        <v>207</v>
      </c>
      <c r="EV19" s="108">
        <f t="shared" si="72"/>
        <v>4.461206896551724E-2</v>
      </c>
      <c r="EW19" s="107">
        <v>5098</v>
      </c>
      <c r="EX19" s="107">
        <v>349</v>
      </c>
      <c r="EY19" s="108">
        <f t="shared" si="73"/>
        <v>6.8458218909376228E-2</v>
      </c>
      <c r="EZ19" s="107">
        <f t="shared" si="74"/>
        <v>9738</v>
      </c>
      <c r="FA19" s="107">
        <f t="shared" si="75"/>
        <v>556</v>
      </c>
      <c r="FB19" s="108">
        <f t="shared" si="76"/>
        <v>5.7095912918463748E-2</v>
      </c>
      <c r="FC19" s="107">
        <v>9738</v>
      </c>
      <c r="FD19" s="107">
        <v>556</v>
      </c>
      <c r="FE19" s="108">
        <f t="shared" si="77"/>
        <v>5.7095912918463748E-2</v>
      </c>
      <c r="FF19" s="107">
        <v>1104</v>
      </c>
      <c r="FG19" s="108">
        <f t="shared" si="77"/>
        <v>0.11337030191004313</v>
      </c>
      <c r="FH19" s="107">
        <v>1499</v>
      </c>
      <c r="FI19" s="108">
        <f t="shared" ref="FI19" si="185">FH19/$FC19</f>
        <v>0.15393304579995892</v>
      </c>
      <c r="FJ19" s="107">
        <v>1784</v>
      </c>
      <c r="FK19" s="108">
        <f t="shared" ref="FK19" si="186">FJ19/$FC19</f>
        <v>0.18319983569521461</v>
      </c>
      <c r="FL19" s="107">
        <v>3368</v>
      </c>
      <c r="FM19" s="108">
        <f t="shared" ref="FM19" si="187">FL19/$FC19</f>
        <v>0.34586157321832001</v>
      </c>
      <c r="FN19" s="107">
        <v>749</v>
      </c>
      <c r="FO19" s="108">
        <v>0.25916955017301035</v>
      </c>
      <c r="FP19" s="107">
        <v>4</v>
      </c>
      <c r="FQ19" s="108">
        <v>1.3840830449826989E-3</v>
      </c>
      <c r="FR19" s="107">
        <v>132</v>
      </c>
      <c r="FS19" s="108">
        <v>7.3784237003912803E-2</v>
      </c>
      <c r="FT19" s="110">
        <v>7</v>
      </c>
      <c r="FU19" s="108">
        <v>3.9128004471771938E-3</v>
      </c>
      <c r="FV19" s="107">
        <v>739</v>
      </c>
      <c r="FW19" s="108">
        <v>0.23512567610563156</v>
      </c>
      <c r="FX19" s="107">
        <v>1</v>
      </c>
      <c r="FY19" s="108">
        <v>3.1816735602927139E-4</v>
      </c>
      <c r="FZ19" s="107">
        <v>112</v>
      </c>
      <c r="GA19" s="108">
        <v>5.4660810151293315E-2</v>
      </c>
      <c r="GB19" s="107">
        <v>0</v>
      </c>
      <c r="GC19" s="108">
        <v>0</v>
      </c>
      <c r="GD19" s="107">
        <v>1732</v>
      </c>
      <c r="GE19" s="117">
        <v>0.17546347887752001</v>
      </c>
      <c r="GF19" s="107">
        <v>12</v>
      </c>
      <c r="GG19" s="117">
        <v>1.2156823016918246E-3</v>
      </c>
      <c r="GH19" s="107">
        <v>6319</v>
      </c>
      <c r="GI19" s="107">
        <v>620</v>
      </c>
      <c r="GJ19" s="108">
        <f t="shared" si="81"/>
        <v>9.8116790631429029E-2</v>
      </c>
      <c r="GK19" s="107">
        <v>212</v>
      </c>
      <c r="GL19" s="108">
        <f t="shared" si="82"/>
        <v>0.34193548387096773</v>
      </c>
      <c r="GM19" s="107">
        <v>319</v>
      </c>
      <c r="GN19" s="108">
        <f t="shared" si="83"/>
        <v>0.51451612903225807</v>
      </c>
      <c r="GO19" s="107">
        <v>5699</v>
      </c>
      <c r="GP19" s="108">
        <f t="shared" si="84"/>
        <v>0.90188320936857103</v>
      </c>
      <c r="GQ19" s="107">
        <v>4134</v>
      </c>
      <c r="GR19" s="108">
        <f t="shared" si="85"/>
        <v>0.72539041937181958</v>
      </c>
      <c r="GS19" s="107">
        <v>1523</v>
      </c>
      <c r="GT19" s="108">
        <f t="shared" si="86"/>
        <v>0.26723986664327076</v>
      </c>
    </row>
    <row r="20" spans="1:202" x14ac:dyDescent="0.25">
      <c r="A20" s="104" t="s">
        <v>192</v>
      </c>
      <c r="B20" s="143">
        <v>44229</v>
      </c>
      <c r="C20" s="143">
        <v>12703</v>
      </c>
      <c r="D20" s="143">
        <v>9145</v>
      </c>
      <c r="E20" s="143">
        <v>3400</v>
      </c>
      <c r="F20" s="143">
        <v>1002</v>
      </c>
      <c r="G20" s="144">
        <f t="shared" si="2"/>
        <v>0.28720974925953557</v>
      </c>
      <c r="H20" s="144">
        <f t="shared" si="3"/>
        <v>0.20676479233082368</v>
      </c>
      <c r="I20" s="144">
        <f t="shared" si="4"/>
        <v>7.687264012299623E-2</v>
      </c>
      <c r="J20" s="144">
        <f t="shared" si="5"/>
        <v>2.2654819236247712E-2</v>
      </c>
      <c r="K20" s="143">
        <v>4512</v>
      </c>
      <c r="L20" s="145">
        <f t="shared" si="6"/>
        <v>0.49338436303991251</v>
      </c>
      <c r="M20" s="143">
        <v>4633</v>
      </c>
      <c r="N20" s="145">
        <f t="shared" si="7"/>
        <v>0.50661563696008749</v>
      </c>
      <c r="O20" s="148">
        <v>42.7</v>
      </c>
      <c r="P20" s="107">
        <v>19160</v>
      </c>
      <c r="Q20" s="107">
        <v>8673</v>
      </c>
      <c r="R20" s="108">
        <f t="shared" si="8"/>
        <v>0.45266179540709811</v>
      </c>
      <c r="S20" s="107">
        <v>6464</v>
      </c>
      <c r="T20" s="149">
        <f t="shared" si="9"/>
        <v>0.33736951983298541</v>
      </c>
      <c r="U20" s="143">
        <v>4512</v>
      </c>
      <c r="V20" s="107">
        <v>430</v>
      </c>
      <c r="W20" s="108">
        <f t="shared" si="10"/>
        <v>9.5301418439716318E-2</v>
      </c>
      <c r="X20" s="107">
        <v>2850</v>
      </c>
      <c r="Y20" s="150">
        <f t="shared" si="11"/>
        <v>0.63164893617021278</v>
      </c>
      <c r="Z20" s="107">
        <v>144</v>
      </c>
      <c r="AA20" s="108">
        <f t="shared" si="12"/>
        <v>3.1914893617021274E-2</v>
      </c>
      <c r="AB20" s="107">
        <v>367</v>
      </c>
      <c r="AC20" s="108">
        <f t="shared" si="13"/>
        <v>8.13386524822695E-2</v>
      </c>
      <c r="AD20" s="107">
        <v>721</v>
      </c>
      <c r="AE20" s="108">
        <f t="shared" si="14"/>
        <v>0.15979609929078015</v>
      </c>
      <c r="AF20" s="107">
        <v>4633</v>
      </c>
      <c r="AG20" s="107">
        <v>157</v>
      </c>
      <c r="AH20" s="108">
        <f t="shared" si="15"/>
        <v>3.3887330023742716E-2</v>
      </c>
      <c r="AI20" s="107">
        <v>2225</v>
      </c>
      <c r="AJ20" s="108">
        <f t="shared" si="16"/>
        <v>0.48025037772501616</v>
      </c>
      <c r="AK20" s="107">
        <v>60</v>
      </c>
      <c r="AL20" s="108">
        <f t="shared" si="17"/>
        <v>1.2950571983595942E-2</v>
      </c>
      <c r="AM20" s="107">
        <v>1377</v>
      </c>
      <c r="AN20" s="108">
        <f t="shared" si="18"/>
        <v>0.29721562702352688</v>
      </c>
      <c r="AO20" s="107">
        <v>814</v>
      </c>
      <c r="AP20" s="108">
        <f t="shared" si="19"/>
        <v>0.17569609324411828</v>
      </c>
      <c r="AQ20" s="107">
        <f t="shared" si="20"/>
        <v>9145</v>
      </c>
      <c r="AR20" s="107">
        <f t="shared" si="21"/>
        <v>587</v>
      </c>
      <c r="AS20" s="108">
        <f t="shared" si="22"/>
        <v>6.4188080918534715E-2</v>
      </c>
      <c r="AT20" s="107">
        <f t="shared" si="23"/>
        <v>5075</v>
      </c>
      <c r="AU20" s="108">
        <f t="shared" si="24"/>
        <v>0.55494805904866051</v>
      </c>
      <c r="AV20" s="107">
        <f t="shared" si="25"/>
        <v>204</v>
      </c>
      <c r="AW20" s="108">
        <f t="shared" si="26"/>
        <v>2.2307271733187535E-2</v>
      </c>
      <c r="AX20" s="107">
        <f t="shared" si="27"/>
        <v>1744</v>
      </c>
      <c r="AY20" s="108">
        <f t="shared" si="28"/>
        <v>0.1907053034445052</v>
      </c>
      <c r="AZ20" s="107">
        <f t="shared" si="29"/>
        <v>1535</v>
      </c>
      <c r="BA20" s="108">
        <f t="shared" si="30"/>
        <v>0.16785128485511208</v>
      </c>
      <c r="BB20" s="111">
        <v>4452</v>
      </c>
      <c r="BC20" s="111">
        <v>1528</v>
      </c>
      <c r="BD20" s="152">
        <f t="shared" si="31"/>
        <v>0.34321653189577717</v>
      </c>
      <c r="BE20" s="111">
        <v>4404</v>
      </c>
      <c r="BF20" s="111">
        <v>1477</v>
      </c>
      <c r="BG20" s="152">
        <f t="shared" si="0"/>
        <v>0.33537693006357855</v>
      </c>
      <c r="BH20" s="153">
        <f t="shared" si="32"/>
        <v>8856</v>
      </c>
      <c r="BI20" s="153">
        <f t="shared" si="33"/>
        <v>3005</v>
      </c>
      <c r="BJ20" s="154">
        <f t="shared" si="34"/>
        <v>0.33931797651309847</v>
      </c>
      <c r="BK20" s="107">
        <v>9145</v>
      </c>
      <c r="BL20" s="107">
        <v>2880</v>
      </c>
      <c r="BM20" s="108">
        <f t="shared" si="87"/>
        <v>0.31492618917441223</v>
      </c>
      <c r="BN20" s="107">
        <v>4512</v>
      </c>
      <c r="BO20" s="107">
        <v>1158</v>
      </c>
      <c r="BP20" s="108">
        <f t="shared" si="35"/>
        <v>0.25664893617021278</v>
      </c>
      <c r="BQ20" s="107">
        <v>4633</v>
      </c>
      <c r="BR20" s="107">
        <v>1722</v>
      </c>
      <c r="BS20" s="108">
        <f t="shared" si="36"/>
        <v>0.37168141592920356</v>
      </c>
      <c r="BT20" s="113">
        <v>44276</v>
      </c>
      <c r="BU20" s="113">
        <v>9721</v>
      </c>
      <c r="BV20" s="156">
        <f t="shared" si="37"/>
        <v>0.21955461197940193</v>
      </c>
      <c r="BW20" s="156">
        <f t="shared" si="38"/>
        <v>1</v>
      </c>
      <c r="BX20" s="113">
        <v>40210</v>
      </c>
      <c r="BY20" s="113">
        <v>9313</v>
      </c>
      <c r="BZ20" s="156">
        <f t="shared" si="39"/>
        <v>0.23160905247450883</v>
      </c>
      <c r="CA20" s="156">
        <f t="shared" si="40"/>
        <v>0.95802900936117685</v>
      </c>
      <c r="CB20" s="113">
        <v>552</v>
      </c>
      <c r="CC20" s="113">
        <v>30</v>
      </c>
      <c r="CD20" s="156">
        <f t="shared" si="41"/>
        <v>5.434782608695652E-2</v>
      </c>
      <c r="CE20" s="156">
        <f t="shared" si="88"/>
        <v>3.0861022528546446E-3</v>
      </c>
      <c r="CF20" s="113">
        <v>754</v>
      </c>
      <c r="CG20" s="113">
        <v>157</v>
      </c>
      <c r="CH20" s="156">
        <f t="shared" si="42"/>
        <v>0.20822281167108753</v>
      </c>
      <c r="CI20" s="156">
        <f t="shared" si="43"/>
        <v>1.6150601789939305E-2</v>
      </c>
      <c r="CJ20" s="113">
        <v>472</v>
      </c>
      <c r="CK20" s="113">
        <v>35</v>
      </c>
      <c r="CL20" s="161">
        <f t="shared" si="44"/>
        <v>7.4152542372881353E-2</v>
      </c>
      <c r="CM20" s="156">
        <f t="shared" si="45"/>
        <v>3.6004526283304186E-3</v>
      </c>
      <c r="CN20" s="113">
        <v>21</v>
      </c>
      <c r="CO20" s="113">
        <v>1</v>
      </c>
      <c r="CP20" s="161">
        <f t="shared" si="46"/>
        <v>4.7619047619047616E-2</v>
      </c>
      <c r="CQ20" s="156">
        <f t="shared" si="47"/>
        <v>1.0287007509515482E-4</v>
      </c>
      <c r="CR20" s="105">
        <v>102</v>
      </c>
      <c r="CS20" s="105">
        <v>0</v>
      </c>
      <c r="CT20" s="106">
        <f t="shared" si="48"/>
        <v>0</v>
      </c>
      <c r="CU20" s="106">
        <f t="shared" si="49"/>
        <v>0</v>
      </c>
      <c r="CV20" s="113">
        <v>1361</v>
      </c>
      <c r="CW20" s="113">
        <v>121</v>
      </c>
      <c r="CX20" s="156">
        <f t="shared" si="50"/>
        <v>8.8905216752387953E-2</v>
      </c>
      <c r="CY20" s="156">
        <f t="shared" si="51"/>
        <v>1.2447279086513734E-2</v>
      </c>
      <c r="CZ20" s="113">
        <v>906</v>
      </c>
      <c r="DA20" s="113">
        <v>64</v>
      </c>
      <c r="DB20" s="156">
        <f t="shared" si="52"/>
        <v>7.0640176600441501E-2</v>
      </c>
      <c r="DC20" s="156">
        <f t="shared" si="89"/>
        <v>6.5836848060899086E-3</v>
      </c>
      <c r="DD20" s="107">
        <v>4512</v>
      </c>
      <c r="DE20" s="107">
        <v>335</v>
      </c>
      <c r="DF20" s="107">
        <v>1811</v>
      </c>
      <c r="DG20" s="107">
        <v>1263</v>
      </c>
      <c r="DH20" s="107">
        <v>1103</v>
      </c>
      <c r="DI20" s="149">
        <f t="shared" si="53"/>
        <v>7.4246453900709219E-2</v>
      </c>
      <c r="DJ20" s="149">
        <f t="shared" si="54"/>
        <v>0.40137411347517732</v>
      </c>
      <c r="DK20" s="149">
        <f t="shared" si="55"/>
        <v>0.52437943262411346</v>
      </c>
      <c r="DL20" s="107">
        <v>4633</v>
      </c>
      <c r="DM20" s="107">
        <v>206</v>
      </c>
      <c r="DN20" s="107">
        <v>1585</v>
      </c>
      <c r="DO20" s="107">
        <v>1548</v>
      </c>
      <c r="DP20" s="107">
        <v>1294</v>
      </c>
      <c r="DQ20" s="149">
        <f t="shared" si="56"/>
        <v>4.4463630477012732E-2</v>
      </c>
      <c r="DR20" s="149">
        <f t="shared" si="57"/>
        <v>0.34211094323332614</v>
      </c>
      <c r="DS20" s="149">
        <f t="shared" si="58"/>
        <v>0.61342542628966112</v>
      </c>
      <c r="DT20" s="107">
        <f t="shared" si="59"/>
        <v>9145</v>
      </c>
      <c r="DU20" s="107">
        <f t="shared" si="60"/>
        <v>541</v>
      </c>
      <c r="DV20" s="107">
        <f t="shared" si="61"/>
        <v>3396</v>
      </c>
      <c r="DW20" s="107">
        <f t="shared" si="62"/>
        <v>2811</v>
      </c>
      <c r="DX20" s="107">
        <f t="shared" si="63"/>
        <v>2397</v>
      </c>
      <c r="DY20" s="108">
        <f t="shared" si="64"/>
        <v>5.9158009841443412E-2</v>
      </c>
      <c r="DZ20" s="108">
        <f t="shared" si="65"/>
        <v>0.3713504647348278</v>
      </c>
      <c r="EA20" s="108">
        <f t="shared" si="66"/>
        <v>0.56949152542372883</v>
      </c>
      <c r="EB20" s="107">
        <v>5802</v>
      </c>
      <c r="EC20" s="110">
        <v>602</v>
      </c>
      <c r="ED20" s="108">
        <f t="shared" si="67"/>
        <v>0.10375732506032402</v>
      </c>
      <c r="EE20" s="107">
        <v>1205</v>
      </c>
      <c r="EF20" s="108">
        <f t="shared" si="67"/>
        <v>0.20768700448121338</v>
      </c>
      <c r="EG20" s="107">
        <v>1961</v>
      </c>
      <c r="EH20" s="108">
        <f t="shared" ref="EH20" si="188">EG20/$EB20</f>
        <v>0.33798690106859702</v>
      </c>
      <c r="EI20" s="107">
        <v>2782</v>
      </c>
      <c r="EJ20" s="108">
        <f t="shared" ref="EJ20" si="189">EI20/$EB20</f>
        <v>0.47948983109272664</v>
      </c>
      <c r="EK20" s="107">
        <v>3960</v>
      </c>
      <c r="EL20" s="108">
        <f t="shared" ref="EL20" si="190">EK20/$EB20</f>
        <v>0.68252326783867634</v>
      </c>
      <c r="EM20" s="107">
        <v>4677</v>
      </c>
      <c r="EN20" s="108">
        <f t="shared" ref="EN20" si="191">EM20/$EB20</f>
        <v>0.80610134436401237</v>
      </c>
      <c r="EO20" s="163">
        <v>75099</v>
      </c>
      <c r="EP20" s="163">
        <v>43676</v>
      </c>
      <c r="EQ20" s="163">
        <v>93731</v>
      </c>
      <c r="ER20" s="163">
        <v>83088</v>
      </c>
      <c r="ES20" s="163">
        <v>51771</v>
      </c>
      <c r="ET20" s="107">
        <v>4452</v>
      </c>
      <c r="EU20" s="107">
        <v>307</v>
      </c>
      <c r="EV20" s="108">
        <f t="shared" si="72"/>
        <v>6.8957771787960462E-2</v>
      </c>
      <c r="EW20" s="107">
        <v>4404</v>
      </c>
      <c r="EX20" s="107">
        <v>606</v>
      </c>
      <c r="EY20" s="108">
        <f t="shared" si="73"/>
        <v>0.13760217983651227</v>
      </c>
      <c r="EZ20" s="107">
        <f t="shared" si="74"/>
        <v>8856</v>
      </c>
      <c r="FA20" s="107">
        <f t="shared" si="75"/>
        <v>913</v>
      </c>
      <c r="FB20" s="108">
        <f t="shared" si="76"/>
        <v>0.10309394760614272</v>
      </c>
      <c r="FC20" s="107">
        <v>8856</v>
      </c>
      <c r="FD20" s="107">
        <v>913</v>
      </c>
      <c r="FE20" s="108">
        <f t="shared" si="77"/>
        <v>0.10309394760614272</v>
      </c>
      <c r="FF20" s="107">
        <v>1515</v>
      </c>
      <c r="FG20" s="108">
        <f t="shared" si="77"/>
        <v>0.17107046070460705</v>
      </c>
      <c r="FH20" s="107">
        <v>2028</v>
      </c>
      <c r="FI20" s="108">
        <f t="shared" ref="FI20" si="192">FH20/$FC20</f>
        <v>0.22899728997289973</v>
      </c>
      <c r="FJ20" s="107">
        <v>2452</v>
      </c>
      <c r="FK20" s="108">
        <f t="shared" ref="FK20" si="193">FJ20/$FC20</f>
        <v>0.2768744354110208</v>
      </c>
      <c r="FL20" s="107">
        <v>3957</v>
      </c>
      <c r="FM20" s="108">
        <f t="shared" ref="FM20" si="194">FL20/$FC20</f>
        <v>0.44681571815718157</v>
      </c>
      <c r="FN20" s="107">
        <v>526</v>
      </c>
      <c r="FO20" s="108">
        <v>0.17698519515477792</v>
      </c>
      <c r="FP20" s="107">
        <v>33</v>
      </c>
      <c r="FQ20" s="108">
        <v>1.1103633916554509E-2</v>
      </c>
      <c r="FR20" s="107">
        <v>102</v>
      </c>
      <c r="FS20" s="108">
        <v>6.6233766233766228E-2</v>
      </c>
      <c r="FT20" s="110">
        <v>2</v>
      </c>
      <c r="FU20" s="108">
        <v>1.2987012987012987E-3</v>
      </c>
      <c r="FV20" s="107">
        <v>507</v>
      </c>
      <c r="FW20" s="108">
        <v>0.18283447529751173</v>
      </c>
      <c r="FX20" s="107">
        <v>5</v>
      </c>
      <c r="FY20" s="108">
        <v>1.8031013342949874E-3</v>
      </c>
      <c r="FZ20" s="107">
        <v>93</v>
      </c>
      <c r="GA20" s="108">
        <v>0.05</v>
      </c>
      <c r="GB20" s="107">
        <v>0</v>
      </c>
      <c r="GC20" s="108">
        <v>0</v>
      </c>
      <c r="GD20" s="107">
        <v>1228</v>
      </c>
      <c r="GE20" s="117">
        <v>0.13428102788408966</v>
      </c>
      <c r="GF20" s="107">
        <v>40</v>
      </c>
      <c r="GG20" s="117">
        <v>4.3739748496446143E-3</v>
      </c>
      <c r="GH20" s="107">
        <v>5802</v>
      </c>
      <c r="GI20" s="107">
        <v>1453</v>
      </c>
      <c r="GJ20" s="108">
        <f t="shared" si="81"/>
        <v>0.25043088590141332</v>
      </c>
      <c r="GK20" s="107">
        <v>548</v>
      </c>
      <c r="GL20" s="108">
        <f t="shared" si="82"/>
        <v>0.37715072264280797</v>
      </c>
      <c r="GM20" s="107">
        <v>681</v>
      </c>
      <c r="GN20" s="108">
        <f t="shared" si="83"/>
        <v>0.46868547832071578</v>
      </c>
      <c r="GO20" s="107">
        <v>4349</v>
      </c>
      <c r="GP20" s="108">
        <f t="shared" si="84"/>
        <v>0.74956911409858673</v>
      </c>
      <c r="GQ20" s="107">
        <v>3299</v>
      </c>
      <c r="GR20" s="108">
        <f t="shared" si="85"/>
        <v>0.75856518739940215</v>
      </c>
      <c r="GS20" s="107">
        <v>1033</v>
      </c>
      <c r="GT20" s="108">
        <f t="shared" si="86"/>
        <v>0.23752586801563577</v>
      </c>
    </row>
    <row r="21" spans="1:202" x14ac:dyDescent="0.25">
      <c r="A21" s="104" t="s">
        <v>193</v>
      </c>
      <c r="B21" s="143">
        <v>45527</v>
      </c>
      <c r="C21" s="143">
        <v>10609</v>
      </c>
      <c r="D21" s="143">
        <v>7723</v>
      </c>
      <c r="E21" s="143">
        <v>3141</v>
      </c>
      <c r="F21" s="143">
        <v>628</v>
      </c>
      <c r="G21" s="144">
        <f t="shared" si="2"/>
        <v>0.23302655567026159</v>
      </c>
      <c r="H21" s="144">
        <f t="shared" si="3"/>
        <v>0.16963560085224152</v>
      </c>
      <c r="I21" s="144">
        <f t="shared" si="4"/>
        <v>6.8992026709425169E-2</v>
      </c>
      <c r="J21" s="144">
        <f t="shared" si="5"/>
        <v>1.3794012344323149E-2</v>
      </c>
      <c r="K21" s="143">
        <v>3623</v>
      </c>
      <c r="L21" s="145">
        <f t="shared" si="6"/>
        <v>0.46911821830894729</v>
      </c>
      <c r="M21" s="143">
        <v>4100</v>
      </c>
      <c r="N21" s="145">
        <f t="shared" si="7"/>
        <v>0.53088178169105271</v>
      </c>
      <c r="O21" s="148">
        <v>36.1</v>
      </c>
      <c r="P21" s="107">
        <v>17440</v>
      </c>
      <c r="Q21" s="107">
        <v>7024</v>
      </c>
      <c r="R21" s="108">
        <f t="shared" si="8"/>
        <v>0.40275229357798165</v>
      </c>
      <c r="S21" s="107">
        <v>5203</v>
      </c>
      <c r="T21" s="149">
        <f t="shared" si="9"/>
        <v>0.29833715596330274</v>
      </c>
      <c r="U21" s="143">
        <v>3623</v>
      </c>
      <c r="V21" s="107">
        <v>153</v>
      </c>
      <c r="W21" s="108">
        <f t="shared" si="10"/>
        <v>4.2230195970190447E-2</v>
      </c>
      <c r="X21" s="107">
        <v>2533</v>
      </c>
      <c r="Y21" s="150">
        <f t="shared" si="11"/>
        <v>0.69914435550648635</v>
      </c>
      <c r="Z21" s="107">
        <v>45</v>
      </c>
      <c r="AA21" s="108">
        <f t="shared" si="12"/>
        <v>1.2420645873585427E-2</v>
      </c>
      <c r="AB21" s="107">
        <v>376</v>
      </c>
      <c r="AC21" s="108">
        <f t="shared" si="13"/>
        <v>0.10378139663262489</v>
      </c>
      <c r="AD21" s="107">
        <v>516</v>
      </c>
      <c r="AE21" s="108">
        <f t="shared" si="14"/>
        <v>0.1424234060171129</v>
      </c>
      <c r="AF21" s="107">
        <v>4100</v>
      </c>
      <c r="AG21" s="107">
        <v>248</v>
      </c>
      <c r="AH21" s="108">
        <f t="shared" si="15"/>
        <v>6.0487804878048779E-2</v>
      </c>
      <c r="AI21" s="107">
        <v>2070</v>
      </c>
      <c r="AJ21" s="108">
        <f t="shared" si="16"/>
        <v>0.50487804878048781</v>
      </c>
      <c r="AK21" s="107">
        <v>69</v>
      </c>
      <c r="AL21" s="108">
        <f t="shared" si="17"/>
        <v>1.6829268292682928E-2</v>
      </c>
      <c r="AM21" s="107">
        <v>1073</v>
      </c>
      <c r="AN21" s="108">
        <f t="shared" si="18"/>
        <v>0.26170731707317074</v>
      </c>
      <c r="AO21" s="107">
        <v>640</v>
      </c>
      <c r="AP21" s="108">
        <f t="shared" si="19"/>
        <v>0.15609756097560976</v>
      </c>
      <c r="AQ21" s="107">
        <f t="shared" si="20"/>
        <v>7723</v>
      </c>
      <c r="AR21" s="107">
        <f t="shared" si="21"/>
        <v>401</v>
      </c>
      <c r="AS21" s="108">
        <f t="shared" si="22"/>
        <v>5.1922827916612714E-2</v>
      </c>
      <c r="AT21" s="107">
        <f t="shared" si="23"/>
        <v>4603</v>
      </c>
      <c r="AU21" s="108">
        <f t="shared" si="24"/>
        <v>0.59601191246924767</v>
      </c>
      <c r="AV21" s="107">
        <f t="shared" si="25"/>
        <v>114</v>
      </c>
      <c r="AW21" s="108">
        <f t="shared" si="26"/>
        <v>1.4761103198239027E-2</v>
      </c>
      <c r="AX21" s="107">
        <f t="shared" si="27"/>
        <v>1449</v>
      </c>
      <c r="AY21" s="108">
        <f t="shared" si="28"/>
        <v>0.18762139065130132</v>
      </c>
      <c r="AZ21" s="107">
        <f t="shared" si="29"/>
        <v>1156</v>
      </c>
      <c r="BA21" s="108">
        <f t="shared" si="30"/>
        <v>0.14968276576459924</v>
      </c>
      <c r="BB21" s="111">
        <v>3542</v>
      </c>
      <c r="BC21" s="111">
        <v>1002</v>
      </c>
      <c r="BD21" s="152">
        <f t="shared" si="31"/>
        <v>0.28289102202145683</v>
      </c>
      <c r="BE21" s="111">
        <v>3944</v>
      </c>
      <c r="BF21" s="111">
        <v>1132</v>
      </c>
      <c r="BG21" s="152">
        <f t="shared" si="0"/>
        <v>0.2870182555780933</v>
      </c>
      <c r="BH21" s="153">
        <f t="shared" si="32"/>
        <v>7486</v>
      </c>
      <c r="BI21" s="153">
        <f t="shared" si="33"/>
        <v>2134</v>
      </c>
      <c r="BJ21" s="154">
        <f t="shared" si="34"/>
        <v>0.28506545551696499</v>
      </c>
      <c r="BK21" s="107">
        <v>7723</v>
      </c>
      <c r="BL21" s="107">
        <v>2068</v>
      </c>
      <c r="BM21" s="108">
        <f t="shared" si="87"/>
        <v>0.26777159135051148</v>
      </c>
      <c r="BN21" s="107">
        <v>3623</v>
      </c>
      <c r="BO21" s="107">
        <v>766</v>
      </c>
      <c r="BP21" s="108">
        <f t="shared" si="35"/>
        <v>0.21142699420369859</v>
      </c>
      <c r="BQ21" s="107">
        <v>4100</v>
      </c>
      <c r="BR21" s="107">
        <v>1302</v>
      </c>
      <c r="BS21" s="108">
        <f t="shared" si="36"/>
        <v>0.3175609756097561</v>
      </c>
      <c r="BT21" s="113">
        <v>46135</v>
      </c>
      <c r="BU21" s="113">
        <v>8263</v>
      </c>
      <c r="BV21" s="156">
        <f t="shared" si="37"/>
        <v>0.1791048011271269</v>
      </c>
      <c r="BW21" s="156">
        <f t="shared" si="38"/>
        <v>1</v>
      </c>
      <c r="BX21" s="113">
        <v>42049</v>
      </c>
      <c r="BY21" s="113">
        <v>8070</v>
      </c>
      <c r="BZ21" s="156">
        <f t="shared" si="39"/>
        <v>0.19191895169920806</v>
      </c>
      <c r="CA21" s="156">
        <f t="shared" si="40"/>
        <v>0.97664286578724435</v>
      </c>
      <c r="CB21" s="113">
        <v>395</v>
      </c>
      <c r="CC21" s="113">
        <v>29</v>
      </c>
      <c r="CD21" s="156">
        <f t="shared" si="41"/>
        <v>7.3417721518987344E-2</v>
      </c>
      <c r="CE21" s="156">
        <f t="shared" si="88"/>
        <v>3.5096212029529228E-3</v>
      </c>
      <c r="CF21" s="113">
        <v>215</v>
      </c>
      <c r="CG21" s="113">
        <v>27</v>
      </c>
      <c r="CH21" s="156">
        <f t="shared" si="42"/>
        <v>0.12558139534883722</v>
      </c>
      <c r="CI21" s="156">
        <f t="shared" si="43"/>
        <v>3.2675783613699623E-3</v>
      </c>
      <c r="CJ21" s="113">
        <v>1568</v>
      </c>
      <c r="CK21" s="113">
        <v>49</v>
      </c>
      <c r="CL21" s="161">
        <f t="shared" si="44"/>
        <v>3.125E-2</v>
      </c>
      <c r="CM21" s="156">
        <f t="shared" si="45"/>
        <v>5.9300496187825241E-3</v>
      </c>
      <c r="CN21" s="113">
        <v>21</v>
      </c>
      <c r="CO21" s="113">
        <v>0</v>
      </c>
      <c r="CP21" s="161">
        <f t="shared" si="46"/>
        <v>0</v>
      </c>
      <c r="CQ21" s="156">
        <f t="shared" si="47"/>
        <v>0</v>
      </c>
      <c r="CR21" s="105">
        <v>85</v>
      </c>
      <c r="CS21" s="105">
        <v>0</v>
      </c>
      <c r="CT21" s="106">
        <f t="shared" si="48"/>
        <v>0</v>
      </c>
      <c r="CU21" s="106">
        <f t="shared" si="49"/>
        <v>0</v>
      </c>
      <c r="CV21" s="113">
        <v>666</v>
      </c>
      <c r="CW21" s="113">
        <v>40</v>
      </c>
      <c r="CX21" s="156">
        <f t="shared" si="50"/>
        <v>6.006006006006006E-2</v>
      </c>
      <c r="CY21" s="156">
        <f t="shared" si="51"/>
        <v>4.8408568316592035E-3</v>
      </c>
      <c r="CZ21" s="113">
        <v>1221</v>
      </c>
      <c r="DA21" s="113">
        <v>48</v>
      </c>
      <c r="DB21" s="156">
        <f t="shared" si="52"/>
        <v>3.9312039312039311E-2</v>
      </c>
      <c r="DC21" s="156">
        <f t="shared" si="89"/>
        <v>5.8090281979910445E-3</v>
      </c>
      <c r="DD21" s="107">
        <v>3623</v>
      </c>
      <c r="DE21" s="107">
        <v>302</v>
      </c>
      <c r="DF21" s="107">
        <v>1408</v>
      </c>
      <c r="DG21" s="107">
        <v>835</v>
      </c>
      <c r="DH21" s="107">
        <v>1078</v>
      </c>
      <c r="DI21" s="149">
        <f t="shared" si="53"/>
        <v>8.3356334529395532E-2</v>
      </c>
      <c r="DJ21" s="149">
        <f t="shared" si="54"/>
        <v>0.38862820866685066</v>
      </c>
      <c r="DK21" s="149">
        <f t="shared" si="55"/>
        <v>0.52801545680375384</v>
      </c>
      <c r="DL21" s="107">
        <v>4100</v>
      </c>
      <c r="DM21" s="107">
        <v>215</v>
      </c>
      <c r="DN21" s="107">
        <v>1691</v>
      </c>
      <c r="DO21" s="107">
        <v>970</v>
      </c>
      <c r="DP21" s="107">
        <v>1224</v>
      </c>
      <c r="DQ21" s="149">
        <f t="shared" si="56"/>
        <v>5.24390243902439E-2</v>
      </c>
      <c r="DR21" s="149">
        <f t="shared" si="57"/>
        <v>0.41243902439024388</v>
      </c>
      <c r="DS21" s="149">
        <f t="shared" si="58"/>
        <v>0.53512195121951223</v>
      </c>
      <c r="DT21" s="107">
        <f t="shared" si="59"/>
        <v>7723</v>
      </c>
      <c r="DU21" s="107">
        <f t="shared" si="60"/>
        <v>517</v>
      </c>
      <c r="DV21" s="107">
        <f t="shared" si="61"/>
        <v>3099</v>
      </c>
      <c r="DW21" s="107">
        <f t="shared" si="62"/>
        <v>1805</v>
      </c>
      <c r="DX21" s="107">
        <f t="shared" si="63"/>
        <v>2302</v>
      </c>
      <c r="DY21" s="108">
        <f t="shared" si="64"/>
        <v>6.6942897837627871E-2</v>
      </c>
      <c r="DZ21" s="108">
        <f t="shared" si="65"/>
        <v>0.40126893694160298</v>
      </c>
      <c r="EA21" s="108">
        <f t="shared" si="66"/>
        <v>0.5317881652207691</v>
      </c>
      <c r="EB21" s="107">
        <v>4576</v>
      </c>
      <c r="EC21" s="110">
        <v>446</v>
      </c>
      <c r="ED21" s="108">
        <f t="shared" si="67"/>
        <v>9.7465034965034961E-2</v>
      </c>
      <c r="EE21" s="107">
        <v>952</v>
      </c>
      <c r="EF21" s="108">
        <f t="shared" si="67"/>
        <v>0.20804195804195805</v>
      </c>
      <c r="EG21" s="107">
        <v>1440</v>
      </c>
      <c r="EH21" s="108">
        <f t="shared" ref="EH21" si="195">EG21/$EB21</f>
        <v>0.31468531468531469</v>
      </c>
      <c r="EI21" s="107">
        <v>2080</v>
      </c>
      <c r="EJ21" s="108">
        <f t="shared" ref="EJ21" si="196">EI21/$EB21</f>
        <v>0.45454545454545453</v>
      </c>
      <c r="EK21" s="107">
        <v>2861</v>
      </c>
      <c r="EL21" s="108">
        <f t="shared" ref="EL21" si="197">EK21/$EB21</f>
        <v>0.62521853146853146</v>
      </c>
      <c r="EM21" s="107">
        <v>3405</v>
      </c>
      <c r="EN21" s="108">
        <f t="shared" ref="EN21" si="198">EM21/$EB21</f>
        <v>0.74409965034965031</v>
      </c>
      <c r="EO21" s="163">
        <v>74824</v>
      </c>
      <c r="EP21" s="163">
        <v>45586</v>
      </c>
      <c r="EQ21" s="163">
        <v>92058</v>
      </c>
      <c r="ER21" s="163">
        <v>84316</v>
      </c>
      <c r="ES21" s="163">
        <v>55600</v>
      </c>
      <c r="ET21" s="107">
        <v>3542</v>
      </c>
      <c r="EU21" s="107">
        <v>270</v>
      </c>
      <c r="EV21" s="108">
        <f t="shared" si="72"/>
        <v>7.6228119706380576E-2</v>
      </c>
      <c r="EW21" s="107">
        <v>3944</v>
      </c>
      <c r="EX21" s="107">
        <v>498</v>
      </c>
      <c r="EY21" s="108">
        <f t="shared" si="73"/>
        <v>0.12626774847870181</v>
      </c>
      <c r="EZ21" s="107">
        <f t="shared" si="74"/>
        <v>7486</v>
      </c>
      <c r="FA21" s="107">
        <f t="shared" si="75"/>
        <v>768</v>
      </c>
      <c r="FB21" s="108">
        <f t="shared" si="76"/>
        <v>0.10259150414106331</v>
      </c>
      <c r="FC21" s="107">
        <v>7486</v>
      </c>
      <c r="FD21" s="107">
        <v>768</v>
      </c>
      <c r="FE21" s="108">
        <f t="shared" si="77"/>
        <v>0.10259150414106331</v>
      </c>
      <c r="FF21" s="107">
        <v>1328</v>
      </c>
      <c r="FG21" s="108">
        <f t="shared" si="77"/>
        <v>0.17739780924392198</v>
      </c>
      <c r="FH21" s="107">
        <v>1952</v>
      </c>
      <c r="FI21" s="108">
        <f t="shared" ref="FI21" si="199">FH21/$FC21</f>
        <v>0.26075340635853594</v>
      </c>
      <c r="FJ21" s="107">
        <v>2083</v>
      </c>
      <c r="FK21" s="108">
        <f t="shared" ref="FK21" si="200">FJ21/$FC21</f>
        <v>0.27825273844509751</v>
      </c>
      <c r="FL21" s="107">
        <v>3457</v>
      </c>
      <c r="FM21" s="108">
        <f t="shared" ref="FM21" si="201">FL21/$FC21</f>
        <v>0.46179535132246863</v>
      </c>
      <c r="FN21" s="107">
        <v>766</v>
      </c>
      <c r="FO21" s="108">
        <v>0.33304347826086955</v>
      </c>
      <c r="FP21" s="107">
        <v>28</v>
      </c>
      <c r="FQ21" s="108">
        <v>1.2173913043478261E-2</v>
      </c>
      <c r="FR21" s="107">
        <v>159</v>
      </c>
      <c r="FS21" s="108">
        <v>0.12018140589569161</v>
      </c>
      <c r="FT21" s="110">
        <v>1</v>
      </c>
      <c r="FU21" s="108">
        <v>7.5585789871504159E-4</v>
      </c>
      <c r="FV21" s="107">
        <v>530</v>
      </c>
      <c r="FW21" s="108">
        <v>0.2322524101665206</v>
      </c>
      <c r="FX21" s="107">
        <v>42</v>
      </c>
      <c r="FY21" s="108">
        <v>1.8404907975460124E-2</v>
      </c>
      <c r="FZ21" s="107">
        <v>95</v>
      </c>
      <c r="GA21" s="108">
        <v>5.2255225522552254E-2</v>
      </c>
      <c r="GB21" s="107">
        <v>0</v>
      </c>
      <c r="GC21" s="108">
        <v>0</v>
      </c>
      <c r="GD21" s="107">
        <v>1550</v>
      </c>
      <c r="GE21" s="117">
        <v>0.20069921015149553</v>
      </c>
      <c r="GF21" s="107">
        <v>71</v>
      </c>
      <c r="GG21" s="117">
        <v>9.1933186585523765E-3</v>
      </c>
      <c r="GH21" s="107">
        <v>4576</v>
      </c>
      <c r="GI21" s="107">
        <v>1031</v>
      </c>
      <c r="GJ21" s="108">
        <f t="shared" si="81"/>
        <v>0.22530594405594406</v>
      </c>
      <c r="GK21" s="107">
        <v>412</v>
      </c>
      <c r="GL21" s="108">
        <f t="shared" si="82"/>
        <v>0.39961202715809896</v>
      </c>
      <c r="GM21" s="107">
        <v>409</v>
      </c>
      <c r="GN21" s="108">
        <f t="shared" si="83"/>
        <v>0.39670223084384093</v>
      </c>
      <c r="GO21" s="107">
        <v>3545</v>
      </c>
      <c r="GP21" s="108">
        <f t="shared" si="84"/>
        <v>0.77469405594405594</v>
      </c>
      <c r="GQ21" s="107">
        <v>2677</v>
      </c>
      <c r="GR21" s="108">
        <f t="shared" si="85"/>
        <v>0.75514809590973198</v>
      </c>
      <c r="GS21" s="107">
        <v>854</v>
      </c>
      <c r="GT21" s="108">
        <f t="shared" si="86"/>
        <v>0.24090267983074753</v>
      </c>
    </row>
    <row r="22" spans="1:202" x14ac:dyDescent="0.25">
      <c r="A22" s="104" t="s">
        <v>194</v>
      </c>
      <c r="B22" s="143">
        <v>107116</v>
      </c>
      <c r="C22" s="143">
        <v>24867</v>
      </c>
      <c r="D22" s="143">
        <v>18178</v>
      </c>
      <c r="E22" s="143">
        <v>7479</v>
      </c>
      <c r="F22" s="143">
        <v>2246</v>
      </c>
      <c r="G22" s="144">
        <f t="shared" si="2"/>
        <v>0.2321501923148736</v>
      </c>
      <c r="H22" s="144">
        <f t="shared" si="3"/>
        <v>0.16970387243735763</v>
      </c>
      <c r="I22" s="144">
        <f t="shared" si="4"/>
        <v>6.9821501923148732E-2</v>
      </c>
      <c r="J22" s="144">
        <f t="shared" si="5"/>
        <v>2.0967922625938235E-2</v>
      </c>
      <c r="K22" s="143">
        <v>8180</v>
      </c>
      <c r="L22" s="145">
        <f t="shared" si="6"/>
        <v>0.4499944988447574</v>
      </c>
      <c r="M22" s="143">
        <v>9998</v>
      </c>
      <c r="N22" s="145">
        <f t="shared" si="7"/>
        <v>0.5500055011552426</v>
      </c>
      <c r="O22" s="148">
        <v>35.799999999999997</v>
      </c>
      <c r="P22" s="107">
        <v>44726</v>
      </c>
      <c r="Q22" s="107">
        <v>16899</v>
      </c>
      <c r="R22" s="108">
        <f t="shared" si="8"/>
        <v>0.3778339221034745</v>
      </c>
      <c r="S22" s="107">
        <v>12908</v>
      </c>
      <c r="T22" s="149">
        <f t="shared" si="9"/>
        <v>0.28860170817868802</v>
      </c>
      <c r="U22" s="143">
        <v>8180</v>
      </c>
      <c r="V22" s="107">
        <v>343</v>
      </c>
      <c r="W22" s="108">
        <f t="shared" si="10"/>
        <v>4.193154034229829E-2</v>
      </c>
      <c r="X22" s="107">
        <v>5718</v>
      </c>
      <c r="Y22" s="150">
        <f t="shared" si="11"/>
        <v>0.69902200488997557</v>
      </c>
      <c r="Z22" s="107">
        <v>116</v>
      </c>
      <c r="AA22" s="108">
        <f t="shared" si="12"/>
        <v>1.4180929095354523E-2</v>
      </c>
      <c r="AB22" s="107">
        <v>729</v>
      </c>
      <c r="AC22" s="108">
        <f t="shared" si="13"/>
        <v>8.9119804400977998E-2</v>
      </c>
      <c r="AD22" s="107">
        <v>1274</v>
      </c>
      <c r="AE22" s="108">
        <f t="shared" si="14"/>
        <v>0.15574572127139363</v>
      </c>
      <c r="AF22" s="107">
        <v>9998</v>
      </c>
      <c r="AG22" s="107">
        <v>479</v>
      </c>
      <c r="AH22" s="108">
        <f t="shared" si="15"/>
        <v>4.7909581916383275E-2</v>
      </c>
      <c r="AI22" s="107">
        <v>4579</v>
      </c>
      <c r="AJ22" s="108">
        <f t="shared" si="16"/>
        <v>0.45799159831966391</v>
      </c>
      <c r="AK22" s="107">
        <v>187</v>
      </c>
      <c r="AL22" s="108">
        <f t="shared" si="17"/>
        <v>1.8703740748149629E-2</v>
      </c>
      <c r="AM22" s="107">
        <v>3078</v>
      </c>
      <c r="AN22" s="108">
        <f t="shared" si="18"/>
        <v>0.30786157231446287</v>
      </c>
      <c r="AO22" s="107">
        <v>1675</v>
      </c>
      <c r="AP22" s="108">
        <f t="shared" si="19"/>
        <v>0.16753350670134026</v>
      </c>
      <c r="AQ22" s="107">
        <f t="shared" si="20"/>
        <v>18178</v>
      </c>
      <c r="AR22" s="107">
        <f t="shared" si="21"/>
        <v>822</v>
      </c>
      <c r="AS22" s="108">
        <f t="shared" si="22"/>
        <v>4.521949609417978E-2</v>
      </c>
      <c r="AT22" s="107">
        <f t="shared" si="23"/>
        <v>10297</v>
      </c>
      <c r="AU22" s="108">
        <f t="shared" si="24"/>
        <v>0.56645395533061949</v>
      </c>
      <c r="AV22" s="107">
        <f t="shared" si="25"/>
        <v>303</v>
      </c>
      <c r="AW22" s="108">
        <f t="shared" si="26"/>
        <v>1.6668500385080866E-2</v>
      </c>
      <c r="AX22" s="107">
        <f t="shared" si="27"/>
        <v>3807</v>
      </c>
      <c r="AY22" s="108">
        <f t="shared" si="28"/>
        <v>0.20942898008581803</v>
      </c>
      <c r="AZ22" s="107">
        <f t="shared" si="29"/>
        <v>2949</v>
      </c>
      <c r="BA22" s="108">
        <f t="shared" si="30"/>
        <v>0.1622290681043019</v>
      </c>
      <c r="BB22" s="111">
        <v>8036</v>
      </c>
      <c r="BC22" s="111">
        <v>2169</v>
      </c>
      <c r="BD22" s="152">
        <f t="shared" si="31"/>
        <v>0.2699104031856645</v>
      </c>
      <c r="BE22" s="111">
        <v>9643</v>
      </c>
      <c r="BF22" s="111">
        <v>2879</v>
      </c>
      <c r="BG22" s="152">
        <f t="shared" si="0"/>
        <v>0.29855853987348335</v>
      </c>
      <c r="BH22" s="153">
        <f t="shared" si="32"/>
        <v>17679</v>
      </c>
      <c r="BI22" s="153">
        <f t="shared" si="33"/>
        <v>5048</v>
      </c>
      <c r="BJ22" s="154">
        <f t="shared" si="34"/>
        <v>0.28553651224616777</v>
      </c>
      <c r="BK22" s="107">
        <v>18178</v>
      </c>
      <c r="BL22" s="107">
        <v>5431</v>
      </c>
      <c r="BM22" s="108">
        <f t="shared" si="87"/>
        <v>0.29876774122565741</v>
      </c>
      <c r="BN22" s="107">
        <v>8180</v>
      </c>
      <c r="BO22" s="107">
        <v>1542</v>
      </c>
      <c r="BP22" s="108">
        <f t="shared" si="35"/>
        <v>0.18850855745721271</v>
      </c>
      <c r="BQ22" s="107">
        <v>9998</v>
      </c>
      <c r="BR22" s="107">
        <v>3889</v>
      </c>
      <c r="BS22" s="108">
        <f t="shared" si="36"/>
        <v>0.38897779555911183</v>
      </c>
      <c r="BT22" s="113">
        <v>108830</v>
      </c>
      <c r="BU22" s="113">
        <v>19458</v>
      </c>
      <c r="BV22" s="156">
        <f t="shared" si="37"/>
        <v>0.1787926123311587</v>
      </c>
      <c r="BW22" s="156">
        <f t="shared" si="38"/>
        <v>1</v>
      </c>
      <c r="BX22" s="113">
        <v>95957</v>
      </c>
      <c r="BY22" s="113">
        <v>18802</v>
      </c>
      <c r="BZ22" s="156">
        <f t="shared" si="39"/>
        <v>0.1959419323238534</v>
      </c>
      <c r="CA22" s="156">
        <f t="shared" si="40"/>
        <v>0.96628636036591631</v>
      </c>
      <c r="CB22" s="113">
        <v>1292</v>
      </c>
      <c r="CC22" s="113">
        <v>86</v>
      </c>
      <c r="CD22" s="156">
        <f t="shared" si="41"/>
        <v>6.6563467492260067E-2</v>
      </c>
      <c r="CE22" s="156">
        <f t="shared" si="88"/>
        <v>4.4197759276390176E-3</v>
      </c>
      <c r="CF22" s="113">
        <v>494</v>
      </c>
      <c r="CG22" s="113">
        <v>74</v>
      </c>
      <c r="CH22" s="156">
        <f t="shared" si="42"/>
        <v>0.14979757085020243</v>
      </c>
      <c r="CI22" s="156">
        <f t="shared" si="43"/>
        <v>3.8030630075033406E-3</v>
      </c>
      <c r="CJ22" s="113">
        <v>5002</v>
      </c>
      <c r="CK22" s="113">
        <v>263</v>
      </c>
      <c r="CL22" s="161">
        <f t="shared" si="44"/>
        <v>5.2578968412634944E-2</v>
      </c>
      <c r="CM22" s="156">
        <f t="shared" si="45"/>
        <v>1.3516291499640251E-2</v>
      </c>
      <c r="CN22" s="113">
        <v>178</v>
      </c>
      <c r="CO22" s="113">
        <v>10</v>
      </c>
      <c r="CP22" s="161">
        <f t="shared" si="46"/>
        <v>5.6179775280898875E-2</v>
      </c>
      <c r="CQ22" s="156">
        <f t="shared" si="47"/>
        <v>5.1392743344639733E-4</v>
      </c>
      <c r="CR22" s="105">
        <v>319</v>
      </c>
      <c r="CS22" s="105">
        <v>0</v>
      </c>
      <c r="CT22" s="106">
        <f t="shared" si="48"/>
        <v>0</v>
      </c>
      <c r="CU22" s="106">
        <f t="shared" si="49"/>
        <v>0</v>
      </c>
      <c r="CV22" s="113">
        <v>2171</v>
      </c>
      <c r="CW22" s="113">
        <v>74</v>
      </c>
      <c r="CX22" s="156">
        <f t="shared" si="50"/>
        <v>3.408567480423768E-2</v>
      </c>
      <c r="CY22" s="156">
        <f t="shared" si="51"/>
        <v>3.8030630075033406E-3</v>
      </c>
      <c r="CZ22" s="113">
        <v>3736</v>
      </c>
      <c r="DA22" s="113">
        <v>149</v>
      </c>
      <c r="DB22" s="156">
        <f t="shared" si="52"/>
        <v>3.9882226980728054E-2</v>
      </c>
      <c r="DC22" s="156">
        <f t="shared" si="89"/>
        <v>7.6575187583513204E-3</v>
      </c>
      <c r="DD22" s="107">
        <v>8180</v>
      </c>
      <c r="DE22" s="107">
        <v>344</v>
      </c>
      <c r="DF22" s="107">
        <v>2186</v>
      </c>
      <c r="DG22" s="107">
        <v>2574</v>
      </c>
      <c r="DH22" s="107">
        <v>3076</v>
      </c>
      <c r="DI22" s="149">
        <f t="shared" si="53"/>
        <v>4.2053789731051346E-2</v>
      </c>
      <c r="DJ22" s="149">
        <f t="shared" si="54"/>
        <v>0.26723716381418094</v>
      </c>
      <c r="DK22" s="149">
        <f t="shared" si="55"/>
        <v>0.69070904645476772</v>
      </c>
      <c r="DL22" s="107">
        <v>9998</v>
      </c>
      <c r="DM22" s="107">
        <v>417</v>
      </c>
      <c r="DN22" s="107">
        <v>4154</v>
      </c>
      <c r="DO22" s="107">
        <v>2621</v>
      </c>
      <c r="DP22" s="107">
        <v>2806</v>
      </c>
      <c r="DQ22" s="149">
        <f t="shared" si="56"/>
        <v>4.1708341668333669E-2</v>
      </c>
      <c r="DR22" s="149">
        <f t="shared" si="57"/>
        <v>0.41548309661932387</v>
      </c>
      <c r="DS22" s="149">
        <f t="shared" si="58"/>
        <v>0.54280856171234249</v>
      </c>
      <c r="DT22" s="107">
        <f t="shared" si="59"/>
        <v>18178</v>
      </c>
      <c r="DU22" s="107">
        <f t="shared" si="60"/>
        <v>761</v>
      </c>
      <c r="DV22" s="107">
        <f t="shared" si="61"/>
        <v>6340</v>
      </c>
      <c r="DW22" s="107">
        <f t="shared" si="62"/>
        <v>5195</v>
      </c>
      <c r="DX22" s="107">
        <f t="shared" si="63"/>
        <v>5882</v>
      </c>
      <c r="DY22" s="108">
        <f t="shared" si="64"/>
        <v>4.1863791396193201E-2</v>
      </c>
      <c r="DZ22" s="108">
        <f t="shared" si="65"/>
        <v>0.34877324238089996</v>
      </c>
      <c r="EA22" s="108">
        <f t="shared" si="66"/>
        <v>0.60936296622290687</v>
      </c>
      <c r="EB22" s="107">
        <v>11899</v>
      </c>
      <c r="EC22" s="110">
        <v>828</v>
      </c>
      <c r="ED22" s="108">
        <f t="shared" si="67"/>
        <v>6.9585679468862932E-2</v>
      </c>
      <c r="EE22" s="107">
        <v>1810</v>
      </c>
      <c r="EF22" s="108">
        <f t="shared" si="67"/>
        <v>0.15211362299352887</v>
      </c>
      <c r="EG22" s="107">
        <v>3151</v>
      </c>
      <c r="EH22" s="108">
        <f t="shared" ref="EH22" si="202">EG22/$EB22</f>
        <v>0.26481216908983946</v>
      </c>
      <c r="EI22" s="107">
        <v>4816</v>
      </c>
      <c r="EJ22" s="108">
        <f t="shared" ref="EJ22" si="203">EI22/$EB22</f>
        <v>0.40473989410874861</v>
      </c>
      <c r="EK22" s="107">
        <v>7864</v>
      </c>
      <c r="EL22" s="108">
        <f t="shared" ref="EL22" si="204">EK22/$EB22</f>
        <v>0.66089587360282376</v>
      </c>
      <c r="EM22" s="107">
        <v>9325</v>
      </c>
      <c r="EN22" s="108">
        <f t="shared" ref="EN22" si="205">EM22/$EB22</f>
        <v>0.78367930078157833</v>
      </c>
      <c r="EO22" s="163">
        <v>74546</v>
      </c>
      <c r="EP22" s="163">
        <v>44985</v>
      </c>
      <c r="EQ22" s="163">
        <v>88877</v>
      </c>
      <c r="ER22" s="163">
        <v>98403</v>
      </c>
      <c r="ES22" s="163">
        <v>58282</v>
      </c>
      <c r="ET22" s="107">
        <v>8036</v>
      </c>
      <c r="EU22" s="107">
        <v>411</v>
      </c>
      <c r="EV22" s="108">
        <f t="shared" si="72"/>
        <v>5.114484818317571E-2</v>
      </c>
      <c r="EW22" s="107">
        <v>9643</v>
      </c>
      <c r="EX22" s="107">
        <v>861</v>
      </c>
      <c r="EY22" s="108">
        <f t="shared" si="73"/>
        <v>8.9287566110131708E-2</v>
      </c>
      <c r="EZ22" s="107">
        <f t="shared" si="74"/>
        <v>17679</v>
      </c>
      <c r="FA22" s="107">
        <f t="shared" si="75"/>
        <v>1272</v>
      </c>
      <c r="FB22" s="108">
        <f t="shared" si="76"/>
        <v>7.1949770914644495E-2</v>
      </c>
      <c r="FC22" s="107">
        <v>17679</v>
      </c>
      <c r="FD22" s="107">
        <v>1272</v>
      </c>
      <c r="FE22" s="108">
        <f t="shared" si="77"/>
        <v>7.1949770914644495E-2</v>
      </c>
      <c r="FF22" s="107">
        <v>2341</v>
      </c>
      <c r="FG22" s="108">
        <f t="shared" si="77"/>
        <v>0.13241699191130721</v>
      </c>
      <c r="FH22" s="107">
        <v>3364</v>
      </c>
      <c r="FI22" s="108">
        <f t="shared" ref="FI22" si="206">FH22/$FC22</f>
        <v>0.19028225578369817</v>
      </c>
      <c r="FJ22" s="107">
        <v>4115</v>
      </c>
      <c r="FK22" s="108">
        <f t="shared" ref="FK22" si="207">FJ22/$FC22</f>
        <v>0.23276203405169976</v>
      </c>
      <c r="FL22" s="107">
        <v>7377</v>
      </c>
      <c r="FM22" s="108">
        <f t="shared" ref="FM22" si="208">FL22/$FC22</f>
        <v>0.41727473273375193</v>
      </c>
      <c r="FN22" s="107">
        <v>1205</v>
      </c>
      <c r="FO22" s="108">
        <v>0.23856662047119381</v>
      </c>
      <c r="FP22" s="107">
        <v>14</v>
      </c>
      <c r="FQ22" s="108">
        <v>2.7717283706196793E-3</v>
      </c>
      <c r="FR22" s="107">
        <v>334</v>
      </c>
      <c r="FS22" s="108">
        <v>0.10674336848833493</v>
      </c>
      <c r="FT22" s="110">
        <v>0</v>
      </c>
      <c r="FU22" s="108">
        <v>0</v>
      </c>
      <c r="FV22" s="107">
        <v>1136</v>
      </c>
      <c r="FW22" s="108">
        <v>0.20113314447592068</v>
      </c>
      <c r="FX22" s="107">
        <v>4</v>
      </c>
      <c r="FY22" s="108">
        <v>7.0821529745042496E-4</v>
      </c>
      <c r="FZ22" s="107">
        <v>183</v>
      </c>
      <c r="GA22" s="108">
        <v>4.2068965517241382E-2</v>
      </c>
      <c r="GB22" s="107">
        <v>0</v>
      </c>
      <c r="GC22" s="108">
        <v>0</v>
      </c>
      <c r="GD22" s="107">
        <v>2858</v>
      </c>
      <c r="GE22" s="117">
        <v>0.15722301683353504</v>
      </c>
      <c r="GF22" s="107">
        <v>18</v>
      </c>
      <c r="GG22" s="117">
        <v>9.9020794366817041E-4</v>
      </c>
      <c r="GH22" s="107">
        <v>11899</v>
      </c>
      <c r="GI22" s="107">
        <v>3107</v>
      </c>
      <c r="GJ22" s="108">
        <f t="shared" si="81"/>
        <v>0.26111437935961007</v>
      </c>
      <c r="GK22" s="107">
        <v>1244</v>
      </c>
      <c r="GL22" s="108">
        <f t="shared" si="82"/>
        <v>0.40038622465400708</v>
      </c>
      <c r="GM22" s="107">
        <v>1637</v>
      </c>
      <c r="GN22" s="108">
        <f t="shared" si="83"/>
        <v>0.52687479884132604</v>
      </c>
      <c r="GO22" s="107">
        <v>8792</v>
      </c>
      <c r="GP22" s="108">
        <f t="shared" si="84"/>
        <v>0.73888562064038998</v>
      </c>
      <c r="GQ22" s="107">
        <v>7139</v>
      </c>
      <c r="GR22" s="108">
        <f t="shared" si="85"/>
        <v>0.81198817106460419</v>
      </c>
      <c r="GS22" s="107">
        <v>1635</v>
      </c>
      <c r="GT22" s="108">
        <f t="shared" si="86"/>
        <v>0.18596451319381255</v>
      </c>
    </row>
    <row r="23" spans="1:202" x14ac:dyDescent="0.25">
      <c r="A23" s="104" t="s">
        <v>195</v>
      </c>
      <c r="B23" s="143">
        <v>4646</v>
      </c>
      <c r="C23" s="143">
        <v>1864</v>
      </c>
      <c r="D23" s="143">
        <v>1361</v>
      </c>
      <c r="E23" s="143">
        <v>518</v>
      </c>
      <c r="F23" s="143">
        <v>89</v>
      </c>
      <c r="G23" s="144">
        <f t="shared" si="2"/>
        <v>0.40120533792509688</v>
      </c>
      <c r="H23" s="144">
        <f t="shared" si="3"/>
        <v>0.29294016358157554</v>
      </c>
      <c r="I23" s="144">
        <f t="shared" si="4"/>
        <v>0.11149375807145932</v>
      </c>
      <c r="J23" s="144">
        <f t="shared" si="5"/>
        <v>1.9156263452432199E-2</v>
      </c>
      <c r="K23" s="143">
        <v>668</v>
      </c>
      <c r="L23" s="145">
        <f t="shared" si="6"/>
        <v>0.49081557678177812</v>
      </c>
      <c r="M23" s="143">
        <v>693</v>
      </c>
      <c r="N23" s="145">
        <f t="shared" si="7"/>
        <v>0.50918442321822188</v>
      </c>
      <c r="O23" s="148">
        <v>55.3</v>
      </c>
      <c r="P23" s="107">
        <v>2197</v>
      </c>
      <c r="Q23" s="107">
        <v>1192</v>
      </c>
      <c r="R23" s="108">
        <f t="shared" si="8"/>
        <v>0.54255803368229405</v>
      </c>
      <c r="S23" s="107">
        <v>948</v>
      </c>
      <c r="T23" s="149">
        <f t="shared" si="9"/>
        <v>0.43149749658625397</v>
      </c>
      <c r="U23" s="143">
        <v>668</v>
      </c>
      <c r="V23" s="107">
        <v>35</v>
      </c>
      <c r="W23" s="108">
        <f t="shared" si="10"/>
        <v>5.239520958083832E-2</v>
      </c>
      <c r="X23" s="107">
        <v>501</v>
      </c>
      <c r="Y23" s="150">
        <f t="shared" si="11"/>
        <v>0.75</v>
      </c>
      <c r="Z23" s="107">
        <v>4</v>
      </c>
      <c r="AA23" s="108">
        <f t="shared" si="12"/>
        <v>5.9880239520958087E-3</v>
      </c>
      <c r="AB23" s="107">
        <v>54</v>
      </c>
      <c r="AC23" s="108">
        <f t="shared" si="13"/>
        <v>8.0838323353293412E-2</v>
      </c>
      <c r="AD23" s="107">
        <v>74</v>
      </c>
      <c r="AE23" s="108">
        <f t="shared" si="14"/>
        <v>0.11077844311377245</v>
      </c>
      <c r="AF23" s="107">
        <v>693</v>
      </c>
      <c r="AG23" s="107">
        <v>5</v>
      </c>
      <c r="AH23" s="108">
        <f t="shared" si="15"/>
        <v>7.215007215007215E-3</v>
      </c>
      <c r="AI23" s="107">
        <v>440</v>
      </c>
      <c r="AJ23" s="108">
        <f t="shared" si="16"/>
        <v>0.63492063492063489</v>
      </c>
      <c r="AK23" s="107">
        <v>3</v>
      </c>
      <c r="AL23" s="108">
        <f t="shared" si="17"/>
        <v>4.329004329004329E-3</v>
      </c>
      <c r="AM23" s="107">
        <v>192</v>
      </c>
      <c r="AN23" s="108">
        <f t="shared" si="18"/>
        <v>0.27705627705627706</v>
      </c>
      <c r="AO23" s="107">
        <v>53</v>
      </c>
      <c r="AP23" s="108">
        <f t="shared" si="19"/>
        <v>7.647907647907648E-2</v>
      </c>
      <c r="AQ23" s="107">
        <f t="shared" si="20"/>
        <v>1361</v>
      </c>
      <c r="AR23" s="107">
        <f t="shared" si="21"/>
        <v>40</v>
      </c>
      <c r="AS23" s="108">
        <f t="shared" si="22"/>
        <v>2.9390154298310066E-2</v>
      </c>
      <c r="AT23" s="107">
        <f t="shared" si="23"/>
        <v>941</v>
      </c>
      <c r="AU23" s="108">
        <f t="shared" si="24"/>
        <v>0.69140337986774436</v>
      </c>
      <c r="AV23" s="107">
        <f t="shared" si="25"/>
        <v>7</v>
      </c>
      <c r="AW23" s="108">
        <f t="shared" si="26"/>
        <v>5.1432770022042619E-3</v>
      </c>
      <c r="AX23" s="107">
        <f t="shared" si="27"/>
        <v>246</v>
      </c>
      <c r="AY23" s="108">
        <f t="shared" si="28"/>
        <v>0.1807494489346069</v>
      </c>
      <c r="AZ23" s="107">
        <f t="shared" si="29"/>
        <v>127</v>
      </c>
      <c r="BA23" s="108">
        <f t="shared" si="30"/>
        <v>9.3313739897134457E-2</v>
      </c>
      <c r="BB23" s="111">
        <v>648</v>
      </c>
      <c r="BC23" s="111">
        <v>244</v>
      </c>
      <c r="BD23" s="152">
        <f t="shared" si="31"/>
        <v>0.37654320987654322</v>
      </c>
      <c r="BE23" s="111">
        <v>684</v>
      </c>
      <c r="BF23" s="111">
        <v>139</v>
      </c>
      <c r="BG23" s="152">
        <f t="shared" si="0"/>
        <v>0.20321637426900585</v>
      </c>
      <c r="BH23" s="153">
        <f t="shared" si="32"/>
        <v>1332</v>
      </c>
      <c r="BI23" s="153">
        <f t="shared" si="33"/>
        <v>383</v>
      </c>
      <c r="BJ23" s="154">
        <f t="shared" si="34"/>
        <v>0.28753753753753752</v>
      </c>
      <c r="BK23" s="107">
        <v>1361</v>
      </c>
      <c r="BL23" s="107">
        <v>290</v>
      </c>
      <c r="BM23" s="108">
        <f t="shared" si="87"/>
        <v>0.21307861866274799</v>
      </c>
      <c r="BN23" s="107">
        <v>668</v>
      </c>
      <c r="BO23" s="107">
        <v>105</v>
      </c>
      <c r="BP23" s="108">
        <f t="shared" si="35"/>
        <v>0.15718562874251496</v>
      </c>
      <c r="BQ23" s="107">
        <v>693</v>
      </c>
      <c r="BR23" s="107">
        <v>185</v>
      </c>
      <c r="BS23" s="108">
        <f t="shared" si="36"/>
        <v>0.26695526695526695</v>
      </c>
      <c r="BT23" s="113">
        <v>4673</v>
      </c>
      <c r="BU23" s="113">
        <v>1523</v>
      </c>
      <c r="BV23" s="156">
        <f t="shared" si="37"/>
        <v>0.32591482987374276</v>
      </c>
      <c r="BW23" s="156">
        <f t="shared" si="38"/>
        <v>1</v>
      </c>
      <c r="BX23" s="113">
        <v>4410</v>
      </c>
      <c r="BY23" s="113">
        <v>1480</v>
      </c>
      <c r="BZ23" s="156">
        <f t="shared" si="39"/>
        <v>0.33560090702947848</v>
      </c>
      <c r="CA23" s="156">
        <f t="shared" si="40"/>
        <v>0.97176625082074852</v>
      </c>
      <c r="CB23" s="113">
        <v>27</v>
      </c>
      <c r="CC23" s="113">
        <v>6</v>
      </c>
      <c r="CD23" s="156">
        <f t="shared" si="41"/>
        <v>0.22222222222222221</v>
      </c>
      <c r="CE23" s="156">
        <f t="shared" si="88"/>
        <v>3.939592908732764E-3</v>
      </c>
      <c r="CF23" s="113">
        <v>54</v>
      </c>
      <c r="CG23" s="113">
        <v>8</v>
      </c>
      <c r="CH23" s="156">
        <f t="shared" si="42"/>
        <v>0.14814814814814814</v>
      </c>
      <c r="CI23" s="156">
        <f t="shared" si="43"/>
        <v>5.2527905449770186E-3</v>
      </c>
      <c r="CJ23" s="113">
        <v>18</v>
      </c>
      <c r="CK23" s="113">
        <v>6</v>
      </c>
      <c r="CL23" s="161">
        <f t="shared" si="44"/>
        <v>0.33333333333333331</v>
      </c>
      <c r="CM23" s="156">
        <f t="shared" si="45"/>
        <v>3.939592908732764E-3</v>
      </c>
      <c r="CN23" s="113">
        <v>1</v>
      </c>
      <c r="CO23" s="113">
        <v>0</v>
      </c>
      <c r="CP23" s="161">
        <f t="shared" si="46"/>
        <v>0</v>
      </c>
      <c r="CQ23" s="156">
        <f t="shared" si="47"/>
        <v>0</v>
      </c>
      <c r="CR23" s="105">
        <v>9</v>
      </c>
      <c r="CS23" s="105">
        <v>0</v>
      </c>
      <c r="CT23" s="106">
        <f t="shared" si="48"/>
        <v>0</v>
      </c>
      <c r="CU23" s="106">
        <f t="shared" si="49"/>
        <v>0</v>
      </c>
      <c r="CV23" s="113">
        <v>80</v>
      </c>
      <c r="CW23" s="113">
        <v>11</v>
      </c>
      <c r="CX23" s="156">
        <f t="shared" si="50"/>
        <v>0.13750000000000001</v>
      </c>
      <c r="CY23" s="156">
        <f t="shared" si="51"/>
        <v>7.222586999343401E-3</v>
      </c>
      <c r="CZ23" s="113">
        <v>83</v>
      </c>
      <c r="DA23" s="113">
        <v>12</v>
      </c>
      <c r="DB23" s="156">
        <f t="shared" si="52"/>
        <v>0.14457831325301204</v>
      </c>
      <c r="DC23" s="156">
        <f t="shared" si="89"/>
        <v>7.8791858174655279E-3</v>
      </c>
      <c r="DD23" s="107">
        <v>668</v>
      </c>
      <c r="DE23" s="107">
        <v>93</v>
      </c>
      <c r="DF23" s="107">
        <v>257</v>
      </c>
      <c r="DG23" s="107">
        <v>205</v>
      </c>
      <c r="DH23" s="107">
        <v>113</v>
      </c>
      <c r="DI23" s="149">
        <f t="shared" si="53"/>
        <v>0.13922155688622753</v>
      </c>
      <c r="DJ23" s="149">
        <f t="shared" si="54"/>
        <v>0.3847305389221557</v>
      </c>
      <c r="DK23" s="149">
        <f t="shared" si="55"/>
        <v>0.47604790419161674</v>
      </c>
      <c r="DL23" s="107">
        <v>693</v>
      </c>
      <c r="DM23" s="107">
        <v>58</v>
      </c>
      <c r="DN23" s="107">
        <v>252</v>
      </c>
      <c r="DO23" s="107">
        <v>207</v>
      </c>
      <c r="DP23" s="107">
        <v>176</v>
      </c>
      <c r="DQ23" s="149">
        <f t="shared" si="56"/>
        <v>8.3694083694083696E-2</v>
      </c>
      <c r="DR23" s="149">
        <f t="shared" si="57"/>
        <v>0.36363636363636365</v>
      </c>
      <c r="DS23" s="149">
        <f t="shared" si="58"/>
        <v>0.55266955266955264</v>
      </c>
      <c r="DT23" s="107">
        <f t="shared" si="59"/>
        <v>1361</v>
      </c>
      <c r="DU23" s="107">
        <f t="shared" si="60"/>
        <v>151</v>
      </c>
      <c r="DV23" s="107">
        <f t="shared" si="61"/>
        <v>509</v>
      </c>
      <c r="DW23" s="107">
        <f t="shared" si="62"/>
        <v>412</v>
      </c>
      <c r="DX23" s="107">
        <f t="shared" si="63"/>
        <v>289</v>
      </c>
      <c r="DY23" s="108">
        <f t="shared" si="64"/>
        <v>0.1109478324761205</v>
      </c>
      <c r="DZ23" s="108">
        <f t="shared" si="65"/>
        <v>0.37398971344599558</v>
      </c>
      <c r="EA23" s="108">
        <f t="shared" si="66"/>
        <v>0.51506245407788387</v>
      </c>
      <c r="EB23" s="107">
        <v>822</v>
      </c>
      <c r="EC23" s="110">
        <v>92</v>
      </c>
      <c r="ED23" s="108">
        <f t="shared" si="67"/>
        <v>0.11192214111922141</v>
      </c>
      <c r="EE23" s="107">
        <v>183</v>
      </c>
      <c r="EF23" s="108">
        <f t="shared" si="67"/>
        <v>0.22262773722627738</v>
      </c>
      <c r="EG23" s="107">
        <v>276</v>
      </c>
      <c r="EH23" s="108">
        <f t="shared" ref="EH23" si="209">EG23/$EB23</f>
        <v>0.33576642335766421</v>
      </c>
      <c r="EI23" s="107">
        <v>355</v>
      </c>
      <c r="EJ23" s="108">
        <f t="shared" ref="EJ23" si="210">EI23/$EB23</f>
        <v>0.43187347931873482</v>
      </c>
      <c r="EK23" s="107">
        <v>593</v>
      </c>
      <c r="EL23" s="108">
        <f t="shared" ref="EL23" si="211">EK23/$EB23</f>
        <v>0.72141119221411187</v>
      </c>
      <c r="EM23" s="107">
        <v>678</v>
      </c>
      <c r="EN23" s="108">
        <f t="shared" ref="EN23" si="212">EM23/$EB23</f>
        <v>0.82481751824817517</v>
      </c>
      <c r="EO23" s="163">
        <v>61086</v>
      </c>
      <c r="EP23" s="163" t="s">
        <v>328</v>
      </c>
      <c r="EQ23" s="163">
        <v>100469</v>
      </c>
      <c r="ER23" s="163">
        <v>60066</v>
      </c>
      <c r="ES23" s="163">
        <v>53311</v>
      </c>
      <c r="ET23" s="107">
        <v>648</v>
      </c>
      <c r="EU23" s="107">
        <v>27</v>
      </c>
      <c r="EV23" s="108">
        <f t="shared" si="72"/>
        <v>4.1666666666666664E-2</v>
      </c>
      <c r="EW23" s="107">
        <v>684</v>
      </c>
      <c r="EX23" s="107">
        <v>84</v>
      </c>
      <c r="EY23" s="108">
        <f t="shared" si="73"/>
        <v>0.12280701754385964</v>
      </c>
      <c r="EZ23" s="107">
        <f t="shared" si="74"/>
        <v>1332</v>
      </c>
      <c r="FA23" s="107">
        <f t="shared" si="75"/>
        <v>111</v>
      </c>
      <c r="FB23" s="108">
        <f t="shared" si="76"/>
        <v>8.3333333333333329E-2</v>
      </c>
      <c r="FC23" s="107">
        <v>1332</v>
      </c>
      <c r="FD23" s="107">
        <v>111</v>
      </c>
      <c r="FE23" s="108">
        <f t="shared" si="77"/>
        <v>8.3333333333333329E-2</v>
      </c>
      <c r="FF23" s="107">
        <v>245</v>
      </c>
      <c r="FG23" s="108">
        <f t="shared" si="77"/>
        <v>0.18393393393393392</v>
      </c>
      <c r="FH23" s="107">
        <v>330</v>
      </c>
      <c r="FI23" s="108">
        <f t="shared" ref="FI23" si="213">FH23/$FC23</f>
        <v>0.24774774774774774</v>
      </c>
      <c r="FJ23" s="107">
        <v>391</v>
      </c>
      <c r="FK23" s="108">
        <f t="shared" ref="FK23" si="214">FJ23/$FC23</f>
        <v>0.29354354354354356</v>
      </c>
      <c r="FL23" s="107">
        <v>654</v>
      </c>
      <c r="FM23" s="108">
        <f t="shared" ref="FM23" si="215">FL23/$FC23</f>
        <v>0.49099099099099097</v>
      </c>
      <c r="FN23" s="107">
        <v>86</v>
      </c>
      <c r="FO23" s="108">
        <v>0.20093457943925233</v>
      </c>
      <c r="FP23" s="107">
        <v>2</v>
      </c>
      <c r="FQ23" s="108">
        <v>4.6728971962616819E-3</v>
      </c>
      <c r="FR23" s="107">
        <v>13</v>
      </c>
      <c r="FS23" s="108">
        <v>5.4166666666666669E-2</v>
      </c>
      <c r="FT23" s="110">
        <v>0</v>
      </c>
      <c r="FU23" s="108">
        <v>0</v>
      </c>
      <c r="FV23" s="107">
        <v>63</v>
      </c>
      <c r="FW23" s="108">
        <v>0.15180722891566265</v>
      </c>
      <c r="FX23" s="107">
        <v>0</v>
      </c>
      <c r="FY23" s="108">
        <v>0</v>
      </c>
      <c r="FZ23" s="107">
        <v>14</v>
      </c>
      <c r="GA23" s="108">
        <v>5.0359712230215826E-2</v>
      </c>
      <c r="GB23" s="107">
        <v>0</v>
      </c>
      <c r="GC23" s="108">
        <v>0</v>
      </c>
      <c r="GD23" s="107">
        <v>176</v>
      </c>
      <c r="GE23" s="117">
        <v>0.12931667891256429</v>
      </c>
      <c r="GF23" s="107">
        <v>2</v>
      </c>
      <c r="GG23" s="117">
        <v>1.4695077149155032E-3</v>
      </c>
      <c r="GH23" s="107">
        <v>822</v>
      </c>
      <c r="GI23" s="107">
        <v>62</v>
      </c>
      <c r="GJ23" s="108">
        <f t="shared" si="81"/>
        <v>7.5425790754257913E-2</v>
      </c>
      <c r="GK23" s="107">
        <v>21</v>
      </c>
      <c r="GL23" s="108">
        <f t="shared" si="82"/>
        <v>0.33870967741935482</v>
      </c>
      <c r="GM23" s="107">
        <v>33</v>
      </c>
      <c r="GN23" s="108">
        <f t="shared" si="83"/>
        <v>0.532258064516129</v>
      </c>
      <c r="GO23" s="107">
        <v>760</v>
      </c>
      <c r="GP23" s="108">
        <f t="shared" si="84"/>
        <v>0.92457420924574207</v>
      </c>
      <c r="GQ23" s="107">
        <v>634</v>
      </c>
      <c r="GR23" s="108">
        <f t="shared" si="85"/>
        <v>0.83421052631578951</v>
      </c>
      <c r="GS23" s="107">
        <v>126</v>
      </c>
      <c r="GT23" s="108">
        <f t="shared" si="86"/>
        <v>0.16578947368421051</v>
      </c>
    </row>
    <row r="24" spans="1:202" x14ac:dyDescent="0.25">
      <c r="A24" s="104" t="s">
        <v>196</v>
      </c>
      <c r="B24" s="143">
        <v>104137</v>
      </c>
      <c r="C24" s="143">
        <v>28303</v>
      </c>
      <c r="D24" s="143">
        <v>20614</v>
      </c>
      <c r="E24" s="143">
        <v>8440</v>
      </c>
      <c r="F24" s="143">
        <v>2250</v>
      </c>
      <c r="G24" s="144">
        <f t="shared" si="2"/>
        <v>0.27178620471110171</v>
      </c>
      <c r="H24" s="144">
        <f t="shared" si="3"/>
        <v>0.19795077638111333</v>
      </c>
      <c r="I24" s="144">
        <f t="shared" si="4"/>
        <v>8.1047082209013133E-2</v>
      </c>
      <c r="J24" s="144">
        <f t="shared" si="5"/>
        <v>2.1606153432497575E-2</v>
      </c>
      <c r="K24" s="143">
        <v>9397</v>
      </c>
      <c r="L24" s="145">
        <f t="shared" si="6"/>
        <v>0.45585524400892596</v>
      </c>
      <c r="M24" s="143">
        <v>11217</v>
      </c>
      <c r="N24" s="145">
        <f t="shared" si="7"/>
        <v>0.54414475599107404</v>
      </c>
      <c r="O24" s="148">
        <v>41.9</v>
      </c>
      <c r="P24" s="107">
        <v>43243</v>
      </c>
      <c r="Q24" s="107">
        <v>18876</v>
      </c>
      <c r="R24" s="108">
        <f t="shared" si="8"/>
        <v>0.43650995536849896</v>
      </c>
      <c r="S24" s="107">
        <v>14228</v>
      </c>
      <c r="T24" s="149">
        <f t="shared" si="9"/>
        <v>0.32902435076197306</v>
      </c>
      <c r="U24" s="143">
        <v>9397</v>
      </c>
      <c r="V24" s="107">
        <v>619</v>
      </c>
      <c r="W24" s="108">
        <f t="shared" si="10"/>
        <v>6.5872086836224322E-2</v>
      </c>
      <c r="X24" s="107">
        <v>6599</v>
      </c>
      <c r="Y24" s="150">
        <f t="shared" si="11"/>
        <v>0.70224539746727677</v>
      </c>
      <c r="Z24" s="107">
        <v>321</v>
      </c>
      <c r="AA24" s="108">
        <f t="shared" si="12"/>
        <v>3.4159838246248804E-2</v>
      </c>
      <c r="AB24" s="107">
        <v>855</v>
      </c>
      <c r="AC24" s="108">
        <f t="shared" si="13"/>
        <v>9.0986485048419705E-2</v>
      </c>
      <c r="AD24" s="107">
        <v>1003</v>
      </c>
      <c r="AE24" s="108">
        <f t="shared" si="14"/>
        <v>0.10673619240183037</v>
      </c>
      <c r="AF24" s="107">
        <v>11217</v>
      </c>
      <c r="AG24" s="107">
        <v>780</v>
      </c>
      <c r="AH24" s="108">
        <f t="shared" si="15"/>
        <v>6.9537309441027012E-2</v>
      </c>
      <c r="AI24" s="107">
        <v>5087</v>
      </c>
      <c r="AJ24" s="108">
        <f t="shared" si="16"/>
        <v>0.45350806811090311</v>
      </c>
      <c r="AK24" s="107">
        <v>263</v>
      </c>
      <c r="AL24" s="108">
        <f t="shared" si="17"/>
        <v>2.3446554337166799E-2</v>
      </c>
      <c r="AM24" s="107">
        <v>3360</v>
      </c>
      <c r="AN24" s="108">
        <f t="shared" si="18"/>
        <v>0.29954533297673175</v>
      </c>
      <c r="AO24" s="107">
        <v>1727</v>
      </c>
      <c r="AP24" s="108">
        <f t="shared" si="19"/>
        <v>0.15396273513417136</v>
      </c>
      <c r="AQ24" s="107">
        <f t="shared" si="20"/>
        <v>20614</v>
      </c>
      <c r="AR24" s="107">
        <f t="shared" si="21"/>
        <v>1399</v>
      </c>
      <c r="AS24" s="108">
        <f t="shared" si="22"/>
        <v>6.786649849616766E-2</v>
      </c>
      <c r="AT24" s="107">
        <f t="shared" si="23"/>
        <v>11686</v>
      </c>
      <c r="AU24" s="108">
        <f t="shared" si="24"/>
        <v>0.56689628407878145</v>
      </c>
      <c r="AV24" s="107">
        <f t="shared" si="25"/>
        <v>584</v>
      </c>
      <c r="AW24" s="108">
        <f t="shared" si="26"/>
        <v>2.8330260987678275E-2</v>
      </c>
      <c r="AX24" s="107">
        <f t="shared" si="27"/>
        <v>4215</v>
      </c>
      <c r="AY24" s="108">
        <f t="shared" si="28"/>
        <v>0.20447268846415056</v>
      </c>
      <c r="AZ24" s="107">
        <f t="shared" si="29"/>
        <v>2730</v>
      </c>
      <c r="BA24" s="108">
        <f t="shared" si="30"/>
        <v>0.13243426797322208</v>
      </c>
      <c r="BB24" s="111">
        <v>9253</v>
      </c>
      <c r="BC24" s="111">
        <v>2064</v>
      </c>
      <c r="BD24" s="152">
        <f t="shared" si="31"/>
        <v>0.22306279044634172</v>
      </c>
      <c r="BE24" s="111">
        <v>10741</v>
      </c>
      <c r="BF24" s="111">
        <v>2761</v>
      </c>
      <c r="BG24" s="152">
        <f t="shared" si="0"/>
        <v>0.25705241597616607</v>
      </c>
      <c r="BH24" s="153">
        <f t="shared" si="32"/>
        <v>19994</v>
      </c>
      <c r="BI24" s="153">
        <f t="shared" si="33"/>
        <v>4825</v>
      </c>
      <c r="BJ24" s="154">
        <f t="shared" si="34"/>
        <v>0.2413223967190157</v>
      </c>
      <c r="BK24" s="107">
        <v>20614</v>
      </c>
      <c r="BL24" s="107">
        <v>5793</v>
      </c>
      <c r="BM24" s="108">
        <f t="shared" si="87"/>
        <v>0.2810226059959251</v>
      </c>
      <c r="BN24" s="107">
        <v>9397</v>
      </c>
      <c r="BO24" s="107">
        <v>1951</v>
      </c>
      <c r="BP24" s="108">
        <f t="shared" si="35"/>
        <v>0.20761945301692028</v>
      </c>
      <c r="BQ24" s="107">
        <v>11217</v>
      </c>
      <c r="BR24" s="107">
        <v>3842</v>
      </c>
      <c r="BS24" s="108">
        <f t="shared" si="36"/>
        <v>0.34251582419541765</v>
      </c>
      <c r="BT24" s="113">
        <v>104269</v>
      </c>
      <c r="BU24" s="113">
        <v>21821</v>
      </c>
      <c r="BV24" s="156">
        <f t="shared" si="37"/>
        <v>0.20927600725047713</v>
      </c>
      <c r="BW24" s="156">
        <f t="shared" si="38"/>
        <v>1</v>
      </c>
      <c r="BX24" s="113">
        <v>89800</v>
      </c>
      <c r="BY24" s="113">
        <v>21060</v>
      </c>
      <c r="BZ24" s="156">
        <f t="shared" si="39"/>
        <v>0.23452115812917596</v>
      </c>
      <c r="CA24" s="156">
        <f t="shared" si="40"/>
        <v>0.96512533797717792</v>
      </c>
      <c r="CB24" s="113">
        <v>2433</v>
      </c>
      <c r="CC24" s="113">
        <v>71</v>
      </c>
      <c r="CD24" s="156">
        <f t="shared" si="41"/>
        <v>2.9182079736950268E-2</v>
      </c>
      <c r="CE24" s="156">
        <f t="shared" si="88"/>
        <v>3.2537463910911509E-3</v>
      </c>
      <c r="CF24" s="113">
        <v>478</v>
      </c>
      <c r="CG24" s="113">
        <v>80</v>
      </c>
      <c r="CH24" s="156">
        <f t="shared" si="42"/>
        <v>0.16736401673640167</v>
      </c>
      <c r="CI24" s="156">
        <f t="shared" si="43"/>
        <v>3.6661931167224233E-3</v>
      </c>
      <c r="CJ24" s="113">
        <v>2318</v>
      </c>
      <c r="CK24" s="113">
        <v>133</v>
      </c>
      <c r="CL24" s="161">
        <f t="shared" si="44"/>
        <v>5.737704918032787E-2</v>
      </c>
      <c r="CM24" s="156">
        <f t="shared" si="45"/>
        <v>6.0950460565510284E-3</v>
      </c>
      <c r="CN24" s="113">
        <v>40</v>
      </c>
      <c r="CO24" s="113">
        <v>5</v>
      </c>
      <c r="CP24" s="161">
        <f t="shared" si="46"/>
        <v>0.125</v>
      </c>
      <c r="CQ24" s="156">
        <f t="shared" si="47"/>
        <v>2.2913706979515145E-4</v>
      </c>
      <c r="CR24" s="105">
        <v>1754</v>
      </c>
      <c r="CS24" s="105">
        <v>21</v>
      </c>
      <c r="CT24" s="106">
        <f t="shared" si="48"/>
        <v>1.1972633979475485E-2</v>
      </c>
      <c r="CU24" s="106">
        <f t="shared" si="49"/>
        <v>9.6237569313963609E-4</v>
      </c>
      <c r="CV24" s="113">
        <v>1672</v>
      </c>
      <c r="CW24" s="113">
        <v>80</v>
      </c>
      <c r="CX24" s="156">
        <f t="shared" si="50"/>
        <v>4.784688995215311E-2</v>
      </c>
      <c r="CY24" s="156">
        <f t="shared" si="51"/>
        <v>3.6661931167224233E-3</v>
      </c>
      <c r="CZ24" s="113">
        <v>7528</v>
      </c>
      <c r="DA24" s="113">
        <v>392</v>
      </c>
      <c r="DB24" s="156">
        <f t="shared" si="52"/>
        <v>5.2072263549415514E-2</v>
      </c>
      <c r="DC24" s="156">
        <f t="shared" si="89"/>
        <v>1.7964346271939876E-2</v>
      </c>
      <c r="DD24" s="107">
        <v>9397</v>
      </c>
      <c r="DE24" s="107">
        <v>751</v>
      </c>
      <c r="DF24" s="107">
        <v>4012</v>
      </c>
      <c r="DG24" s="107">
        <v>2629</v>
      </c>
      <c r="DH24" s="107">
        <v>2005</v>
      </c>
      <c r="DI24" s="149">
        <f t="shared" si="53"/>
        <v>7.9919123124401401E-2</v>
      </c>
      <c r="DJ24" s="149">
        <f t="shared" si="54"/>
        <v>0.42694476960732147</v>
      </c>
      <c r="DK24" s="149">
        <f t="shared" si="55"/>
        <v>0.49313610726827711</v>
      </c>
      <c r="DL24" s="107">
        <v>11217</v>
      </c>
      <c r="DM24" s="107">
        <v>729</v>
      </c>
      <c r="DN24" s="107">
        <v>5496</v>
      </c>
      <c r="DO24" s="107">
        <v>2693</v>
      </c>
      <c r="DP24" s="107">
        <v>2299</v>
      </c>
      <c r="DQ24" s="149">
        <f t="shared" si="56"/>
        <v>6.4990639208344483E-2</v>
      </c>
      <c r="DR24" s="149">
        <f t="shared" si="57"/>
        <v>0.48997058036908264</v>
      </c>
      <c r="DS24" s="149">
        <f t="shared" si="58"/>
        <v>0.44503878042257289</v>
      </c>
      <c r="DT24" s="107">
        <f t="shared" si="59"/>
        <v>20614</v>
      </c>
      <c r="DU24" s="107">
        <f t="shared" si="60"/>
        <v>1480</v>
      </c>
      <c r="DV24" s="107">
        <f t="shared" si="61"/>
        <v>9508</v>
      </c>
      <c r="DW24" s="107">
        <f t="shared" si="62"/>
        <v>5322</v>
      </c>
      <c r="DX24" s="107">
        <f t="shared" si="63"/>
        <v>4304</v>
      </c>
      <c r="DY24" s="108">
        <f t="shared" si="64"/>
        <v>7.1795866886581933E-2</v>
      </c>
      <c r="DZ24" s="108">
        <f t="shared" si="65"/>
        <v>0.46123993402541963</v>
      </c>
      <c r="EA24" s="108">
        <f t="shared" si="66"/>
        <v>0.46696419908799847</v>
      </c>
      <c r="EB24" s="107">
        <v>12936</v>
      </c>
      <c r="EC24" s="110">
        <v>1056</v>
      </c>
      <c r="ED24" s="108">
        <f t="shared" si="67"/>
        <v>8.1632653061224483E-2</v>
      </c>
      <c r="EE24" s="107">
        <v>2548</v>
      </c>
      <c r="EF24" s="108">
        <f t="shared" si="67"/>
        <v>0.19696969696969696</v>
      </c>
      <c r="EG24" s="107">
        <v>3785</v>
      </c>
      <c r="EH24" s="108">
        <f t="shared" ref="EH24" si="216">EG24/$EB24</f>
        <v>0.29259431045145329</v>
      </c>
      <c r="EI24" s="107">
        <v>5658</v>
      </c>
      <c r="EJ24" s="108">
        <f t="shared" ref="EJ24" si="217">EI24/$EB24</f>
        <v>0.43738404452690166</v>
      </c>
      <c r="EK24" s="107">
        <v>8628</v>
      </c>
      <c r="EL24" s="108">
        <f t="shared" ref="EL24" si="218">EK24/$EB24</f>
        <v>0.66697588126159557</v>
      </c>
      <c r="EM24" s="107">
        <v>10292</v>
      </c>
      <c r="EN24" s="108">
        <f t="shared" ref="EN24" si="219">EM24/$EB24</f>
        <v>0.79560915275200994</v>
      </c>
      <c r="EO24" s="163">
        <v>74275</v>
      </c>
      <c r="EP24" s="163">
        <v>58894</v>
      </c>
      <c r="EQ24" s="163">
        <v>86498</v>
      </c>
      <c r="ER24" s="163">
        <v>90376</v>
      </c>
      <c r="ES24" s="163">
        <v>55400</v>
      </c>
      <c r="ET24" s="107">
        <v>9253</v>
      </c>
      <c r="EU24" s="107">
        <v>586</v>
      </c>
      <c r="EV24" s="108">
        <f t="shared" si="72"/>
        <v>6.3330811628660971E-2</v>
      </c>
      <c r="EW24" s="107">
        <v>10741</v>
      </c>
      <c r="EX24" s="107">
        <v>1337</v>
      </c>
      <c r="EY24" s="108">
        <f t="shared" si="73"/>
        <v>0.1244763057443441</v>
      </c>
      <c r="EZ24" s="107">
        <f t="shared" si="74"/>
        <v>19994</v>
      </c>
      <c r="FA24" s="107">
        <f t="shared" si="75"/>
        <v>1923</v>
      </c>
      <c r="FB24" s="108">
        <f t="shared" si="76"/>
        <v>9.6178853656096824E-2</v>
      </c>
      <c r="FC24" s="107">
        <v>19994</v>
      </c>
      <c r="FD24" s="107">
        <v>1923</v>
      </c>
      <c r="FE24" s="108">
        <f t="shared" si="77"/>
        <v>9.6178853656096824E-2</v>
      </c>
      <c r="FF24" s="107">
        <v>3416</v>
      </c>
      <c r="FG24" s="108">
        <f t="shared" si="77"/>
        <v>0.17085125537661297</v>
      </c>
      <c r="FH24" s="107">
        <v>4396</v>
      </c>
      <c r="FI24" s="108">
        <f t="shared" ref="FI24" si="220">FH24/$FC24</f>
        <v>0.21986595978793638</v>
      </c>
      <c r="FJ24" s="107">
        <v>4963</v>
      </c>
      <c r="FK24" s="108">
        <f t="shared" ref="FK24" si="221">FJ24/$FC24</f>
        <v>0.24822446734020207</v>
      </c>
      <c r="FL24" s="107">
        <v>8777</v>
      </c>
      <c r="FM24" s="108">
        <f t="shared" ref="FM24" si="222">FL24/$FC24</f>
        <v>0.4389816945083525</v>
      </c>
      <c r="FN24" s="107">
        <v>1567</v>
      </c>
      <c r="FO24" s="108">
        <v>0.26327284946236557</v>
      </c>
      <c r="FP24" s="107">
        <v>16</v>
      </c>
      <c r="FQ24" s="108">
        <v>2.6881720430107529E-3</v>
      </c>
      <c r="FR24" s="107">
        <v>190</v>
      </c>
      <c r="FS24" s="108">
        <v>5.5152394775036286E-2</v>
      </c>
      <c r="FT24" s="110">
        <v>0</v>
      </c>
      <c r="FU24" s="108">
        <v>0</v>
      </c>
      <c r="FV24" s="107">
        <v>1120</v>
      </c>
      <c r="FW24" s="108">
        <v>0.1800064288010286</v>
      </c>
      <c r="FX24" s="107">
        <v>68</v>
      </c>
      <c r="FY24" s="108">
        <v>1.092896174863388E-2</v>
      </c>
      <c r="FZ24" s="107">
        <v>343</v>
      </c>
      <c r="GA24" s="108">
        <v>6.8668668668668664E-2</v>
      </c>
      <c r="GB24" s="107">
        <v>0</v>
      </c>
      <c r="GC24" s="108">
        <v>0</v>
      </c>
      <c r="GD24" s="107">
        <v>3220</v>
      </c>
      <c r="GE24" s="117">
        <v>0.15620452119918501</v>
      </c>
      <c r="GF24" s="107">
        <v>84</v>
      </c>
      <c r="GG24" s="117">
        <v>4.0749005530222177E-3</v>
      </c>
      <c r="GH24" s="107">
        <v>12936</v>
      </c>
      <c r="GI24" s="107">
        <v>2845</v>
      </c>
      <c r="GJ24" s="108">
        <f t="shared" si="81"/>
        <v>0.21992888064316635</v>
      </c>
      <c r="GK24" s="107">
        <v>1057</v>
      </c>
      <c r="GL24" s="108">
        <f t="shared" si="82"/>
        <v>0.37152899824253077</v>
      </c>
      <c r="GM24" s="107">
        <v>1616</v>
      </c>
      <c r="GN24" s="108">
        <f t="shared" si="83"/>
        <v>0.56801405975395436</v>
      </c>
      <c r="GO24" s="107">
        <v>10091</v>
      </c>
      <c r="GP24" s="108">
        <f t="shared" si="84"/>
        <v>0.7800711193568336</v>
      </c>
      <c r="GQ24" s="107">
        <v>7713</v>
      </c>
      <c r="GR24" s="108">
        <f t="shared" si="85"/>
        <v>0.76434446536517686</v>
      </c>
      <c r="GS24" s="107">
        <v>2350</v>
      </c>
      <c r="GT24" s="108">
        <f t="shared" si="86"/>
        <v>0.23288078485779407</v>
      </c>
    </row>
    <row r="25" spans="1:202" x14ac:dyDescent="0.25">
      <c r="A25" s="104" t="s">
        <v>197</v>
      </c>
      <c r="B25" s="143">
        <v>9369</v>
      </c>
      <c r="C25" s="143">
        <v>3284</v>
      </c>
      <c r="D25" s="143">
        <v>2376</v>
      </c>
      <c r="E25" s="143">
        <v>899</v>
      </c>
      <c r="F25" s="143">
        <v>267</v>
      </c>
      <c r="G25" s="144">
        <f t="shared" si="2"/>
        <v>0.3505176646387021</v>
      </c>
      <c r="H25" s="144">
        <f t="shared" si="3"/>
        <v>0.25360230547550433</v>
      </c>
      <c r="I25" s="144">
        <f t="shared" si="4"/>
        <v>9.5954744369729963E-2</v>
      </c>
      <c r="J25" s="144">
        <f t="shared" si="5"/>
        <v>2.8498238872878643E-2</v>
      </c>
      <c r="K25" s="143">
        <v>1184</v>
      </c>
      <c r="L25" s="145">
        <f t="shared" si="6"/>
        <v>0.49831649831649832</v>
      </c>
      <c r="M25" s="143">
        <v>1192</v>
      </c>
      <c r="N25" s="145">
        <f t="shared" si="7"/>
        <v>0.50168350168350173</v>
      </c>
      <c r="O25" s="148">
        <v>49.3</v>
      </c>
      <c r="P25" s="107">
        <v>4006</v>
      </c>
      <c r="Q25" s="107">
        <v>2167</v>
      </c>
      <c r="R25" s="108">
        <f t="shared" si="8"/>
        <v>0.54093859211183226</v>
      </c>
      <c r="S25" s="107">
        <v>1624</v>
      </c>
      <c r="T25" s="149">
        <f t="shared" si="9"/>
        <v>0.40539191213180231</v>
      </c>
      <c r="U25" s="143">
        <v>1184</v>
      </c>
      <c r="V25" s="107">
        <v>47</v>
      </c>
      <c r="W25" s="108">
        <f t="shared" si="10"/>
        <v>3.9695945945945943E-2</v>
      </c>
      <c r="X25" s="107">
        <v>736</v>
      </c>
      <c r="Y25" s="150">
        <f t="shared" si="11"/>
        <v>0.6216216216216216</v>
      </c>
      <c r="Z25" s="107">
        <v>39</v>
      </c>
      <c r="AA25" s="108">
        <f t="shared" si="12"/>
        <v>3.2939189189189186E-2</v>
      </c>
      <c r="AB25" s="107">
        <v>126</v>
      </c>
      <c r="AC25" s="108">
        <f t="shared" si="13"/>
        <v>0.10641891891891891</v>
      </c>
      <c r="AD25" s="107">
        <v>236</v>
      </c>
      <c r="AE25" s="108">
        <f t="shared" si="14"/>
        <v>0.19932432432432431</v>
      </c>
      <c r="AF25" s="107">
        <v>1192</v>
      </c>
      <c r="AG25" s="107">
        <v>59</v>
      </c>
      <c r="AH25" s="108">
        <f t="shared" si="15"/>
        <v>4.9496644295302011E-2</v>
      </c>
      <c r="AI25" s="107">
        <v>668</v>
      </c>
      <c r="AJ25" s="108">
        <f t="shared" si="16"/>
        <v>0.56040268456375841</v>
      </c>
      <c r="AK25" s="107">
        <v>33</v>
      </c>
      <c r="AL25" s="108">
        <f t="shared" si="17"/>
        <v>2.7684563758389263E-2</v>
      </c>
      <c r="AM25" s="107">
        <v>315</v>
      </c>
      <c r="AN25" s="108">
        <f t="shared" si="18"/>
        <v>0.26426174496644295</v>
      </c>
      <c r="AO25" s="107">
        <v>117</v>
      </c>
      <c r="AP25" s="108">
        <f t="shared" si="19"/>
        <v>9.815436241610738E-2</v>
      </c>
      <c r="AQ25" s="107">
        <f t="shared" si="20"/>
        <v>2376</v>
      </c>
      <c r="AR25" s="107">
        <f t="shared" si="21"/>
        <v>106</v>
      </c>
      <c r="AS25" s="108">
        <f t="shared" si="22"/>
        <v>4.4612794612794611E-2</v>
      </c>
      <c r="AT25" s="107">
        <f t="shared" si="23"/>
        <v>1404</v>
      </c>
      <c r="AU25" s="108">
        <f t="shared" si="24"/>
        <v>0.59090909090909094</v>
      </c>
      <c r="AV25" s="107">
        <f t="shared" si="25"/>
        <v>72</v>
      </c>
      <c r="AW25" s="108">
        <f t="shared" si="26"/>
        <v>3.0303030303030304E-2</v>
      </c>
      <c r="AX25" s="107">
        <f t="shared" si="27"/>
        <v>441</v>
      </c>
      <c r="AY25" s="108">
        <f t="shared" si="28"/>
        <v>0.18560606060606061</v>
      </c>
      <c r="AZ25" s="107">
        <f t="shared" si="29"/>
        <v>353</v>
      </c>
      <c r="BA25" s="108">
        <f t="shared" si="30"/>
        <v>0.14856902356902357</v>
      </c>
      <c r="BB25" s="111">
        <v>1143</v>
      </c>
      <c r="BC25" s="111">
        <v>470</v>
      </c>
      <c r="BD25" s="152">
        <f t="shared" si="31"/>
        <v>0.41119860017497811</v>
      </c>
      <c r="BE25" s="111">
        <v>1119</v>
      </c>
      <c r="BF25" s="111">
        <v>320</v>
      </c>
      <c r="BG25" s="152">
        <f t="shared" si="0"/>
        <v>0.28596961572832885</v>
      </c>
      <c r="BH25" s="153">
        <f t="shared" si="32"/>
        <v>2262</v>
      </c>
      <c r="BI25" s="153">
        <f t="shared" si="33"/>
        <v>790</v>
      </c>
      <c r="BJ25" s="154">
        <f t="shared" si="34"/>
        <v>0.34924845269672855</v>
      </c>
      <c r="BK25" s="107">
        <v>2376</v>
      </c>
      <c r="BL25" s="107">
        <v>622</v>
      </c>
      <c r="BM25" s="108">
        <f t="shared" si="87"/>
        <v>0.26178451178451179</v>
      </c>
      <c r="BN25" s="107">
        <v>1184</v>
      </c>
      <c r="BO25" s="107">
        <v>309</v>
      </c>
      <c r="BP25" s="108">
        <f t="shared" si="35"/>
        <v>0.26097972972972971</v>
      </c>
      <c r="BQ25" s="107">
        <v>1192</v>
      </c>
      <c r="BR25" s="107">
        <v>313</v>
      </c>
      <c r="BS25" s="108">
        <f t="shared" si="36"/>
        <v>0.26258389261744969</v>
      </c>
      <c r="BT25" s="113">
        <v>9506</v>
      </c>
      <c r="BU25" s="113">
        <v>2518</v>
      </c>
      <c r="BV25" s="156">
        <f t="shared" si="37"/>
        <v>0.26488533557752997</v>
      </c>
      <c r="BW25" s="156">
        <f t="shared" si="38"/>
        <v>1</v>
      </c>
      <c r="BX25" s="113">
        <v>7610</v>
      </c>
      <c r="BY25" s="113">
        <v>2327</v>
      </c>
      <c r="BZ25" s="156">
        <f t="shared" si="39"/>
        <v>0.30578186596583445</v>
      </c>
      <c r="CA25" s="156">
        <f t="shared" si="40"/>
        <v>0.92414614773629866</v>
      </c>
      <c r="CB25" s="113">
        <v>87</v>
      </c>
      <c r="CC25" s="113">
        <v>4</v>
      </c>
      <c r="CD25" s="156">
        <f t="shared" si="41"/>
        <v>4.5977011494252873E-2</v>
      </c>
      <c r="CE25" s="156">
        <f t="shared" si="88"/>
        <v>1.5885623510722795E-3</v>
      </c>
      <c r="CF25" s="113">
        <v>1269</v>
      </c>
      <c r="CG25" s="113">
        <v>144</v>
      </c>
      <c r="CH25" s="156">
        <f t="shared" si="42"/>
        <v>0.11347517730496454</v>
      </c>
      <c r="CI25" s="156">
        <f t="shared" si="43"/>
        <v>5.7188244638602066E-2</v>
      </c>
      <c r="CJ25" s="113">
        <v>33</v>
      </c>
      <c r="CK25" s="113">
        <v>5</v>
      </c>
      <c r="CL25" s="161">
        <f t="shared" si="44"/>
        <v>0.15151515151515152</v>
      </c>
      <c r="CM25" s="156">
        <f t="shared" si="45"/>
        <v>1.9857029388403494E-3</v>
      </c>
      <c r="CN25" s="113">
        <v>13</v>
      </c>
      <c r="CO25" s="113">
        <v>3</v>
      </c>
      <c r="CP25" s="161">
        <f t="shared" si="46"/>
        <v>0.23076923076923078</v>
      </c>
      <c r="CQ25" s="156">
        <f t="shared" si="47"/>
        <v>1.1914217633042098E-3</v>
      </c>
      <c r="CR25" s="105">
        <v>9</v>
      </c>
      <c r="CS25" s="105">
        <v>0</v>
      </c>
      <c r="CT25" s="106">
        <f t="shared" si="48"/>
        <v>0</v>
      </c>
      <c r="CU25" s="106">
        <f t="shared" si="49"/>
        <v>0</v>
      </c>
      <c r="CV25" s="113">
        <v>269</v>
      </c>
      <c r="CW25" s="113">
        <v>24</v>
      </c>
      <c r="CX25" s="156">
        <f t="shared" si="50"/>
        <v>8.9219330855018583E-2</v>
      </c>
      <c r="CY25" s="156">
        <f t="shared" si="51"/>
        <v>9.5313741064336783E-3</v>
      </c>
      <c r="CZ25" s="113">
        <v>225</v>
      </c>
      <c r="DA25" s="113">
        <v>11</v>
      </c>
      <c r="DB25" s="156">
        <f t="shared" si="52"/>
        <v>4.8888888888888891E-2</v>
      </c>
      <c r="DC25" s="156">
        <f t="shared" si="89"/>
        <v>4.368546465448769E-3</v>
      </c>
      <c r="DD25" s="107">
        <v>1184</v>
      </c>
      <c r="DE25" s="107">
        <v>140</v>
      </c>
      <c r="DF25" s="107">
        <v>405</v>
      </c>
      <c r="DG25" s="107">
        <v>438</v>
      </c>
      <c r="DH25" s="107">
        <v>201</v>
      </c>
      <c r="DI25" s="149">
        <f t="shared" si="53"/>
        <v>0.11824324324324324</v>
      </c>
      <c r="DJ25" s="149">
        <f t="shared" si="54"/>
        <v>0.3420608108108108</v>
      </c>
      <c r="DK25" s="149">
        <f t="shared" si="55"/>
        <v>0.53969594594594594</v>
      </c>
      <c r="DL25" s="107">
        <v>1192</v>
      </c>
      <c r="DM25" s="107">
        <v>95</v>
      </c>
      <c r="DN25" s="107">
        <v>510</v>
      </c>
      <c r="DO25" s="107">
        <v>377</v>
      </c>
      <c r="DP25" s="107">
        <v>210</v>
      </c>
      <c r="DQ25" s="149">
        <f t="shared" si="56"/>
        <v>7.9697986577181204E-2</v>
      </c>
      <c r="DR25" s="149">
        <f t="shared" si="57"/>
        <v>0.42785234899328861</v>
      </c>
      <c r="DS25" s="149">
        <f t="shared" si="58"/>
        <v>0.4924496644295302</v>
      </c>
      <c r="DT25" s="107">
        <f t="shared" si="59"/>
        <v>2376</v>
      </c>
      <c r="DU25" s="107">
        <f t="shared" si="60"/>
        <v>235</v>
      </c>
      <c r="DV25" s="107">
        <f t="shared" si="61"/>
        <v>915</v>
      </c>
      <c r="DW25" s="107">
        <f t="shared" si="62"/>
        <v>815</v>
      </c>
      <c r="DX25" s="107">
        <f t="shared" si="63"/>
        <v>411</v>
      </c>
      <c r="DY25" s="108">
        <f t="shared" si="64"/>
        <v>9.89057239057239E-2</v>
      </c>
      <c r="DZ25" s="108">
        <f t="shared" si="65"/>
        <v>0.38510101010101011</v>
      </c>
      <c r="EA25" s="108">
        <f t="shared" si="66"/>
        <v>0.515993265993266</v>
      </c>
      <c r="EB25" s="107">
        <v>1446</v>
      </c>
      <c r="EC25" s="110">
        <v>160</v>
      </c>
      <c r="ED25" s="108">
        <f t="shared" si="67"/>
        <v>0.11065006915629322</v>
      </c>
      <c r="EE25" s="107">
        <v>353</v>
      </c>
      <c r="EF25" s="108">
        <f t="shared" si="67"/>
        <v>0.24412171507607192</v>
      </c>
      <c r="EG25" s="107">
        <v>589</v>
      </c>
      <c r="EH25" s="108">
        <f t="shared" ref="EH25" si="223">EG25/$EB25</f>
        <v>0.40733056708160442</v>
      </c>
      <c r="EI25" s="107">
        <v>821</v>
      </c>
      <c r="EJ25" s="108">
        <f t="shared" ref="EJ25" si="224">EI25/$EB25</f>
        <v>0.56777316735822958</v>
      </c>
      <c r="EK25" s="107">
        <v>1102</v>
      </c>
      <c r="EL25" s="108">
        <f t="shared" ref="EL25" si="225">EK25/$EB25</f>
        <v>0.76210235131396953</v>
      </c>
      <c r="EM25" s="107">
        <v>1238</v>
      </c>
      <c r="EN25" s="108">
        <f t="shared" ref="EN25" si="226">EM25/$EB25</f>
        <v>0.85615491009681877</v>
      </c>
      <c r="EO25" s="163">
        <v>61071</v>
      </c>
      <c r="EP25" s="163">
        <v>67750</v>
      </c>
      <c r="EQ25" s="163">
        <v>72879</v>
      </c>
      <c r="ER25" s="163">
        <v>81726</v>
      </c>
      <c r="ES25" s="163">
        <v>43456</v>
      </c>
      <c r="ET25" s="107">
        <v>1143</v>
      </c>
      <c r="EU25" s="107">
        <v>102</v>
      </c>
      <c r="EV25" s="108">
        <f t="shared" si="72"/>
        <v>8.9238845144356954E-2</v>
      </c>
      <c r="EW25" s="107">
        <v>1119</v>
      </c>
      <c r="EX25" s="107">
        <v>133</v>
      </c>
      <c r="EY25" s="108">
        <f t="shared" si="73"/>
        <v>0.11885612153708669</v>
      </c>
      <c r="EZ25" s="107">
        <f t="shared" si="74"/>
        <v>2262</v>
      </c>
      <c r="FA25" s="107">
        <f t="shared" si="75"/>
        <v>235</v>
      </c>
      <c r="FB25" s="108">
        <f t="shared" si="76"/>
        <v>0.10389036251105217</v>
      </c>
      <c r="FC25" s="107">
        <v>2262</v>
      </c>
      <c r="FD25" s="107">
        <v>235</v>
      </c>
      <c r="FE25" s="108">
        <f t="shared" si="77"/>
        <v>0.10389036251105217</v>
      </c>
      <c r="FF25" s="107">
        <v>439</v>
      </c>
      <c r="FG25" s="108">
        <f t="shared" si="77"/>
        <v>0.1940760389036251</v>
      </c>
      <c r="FH25" s="107">
        <v>690</v>
      </c>
      <c r="FI25" s="108">
        <f t="shared" ref="FI25" si="227">FH25/$FC25</f>
        <v>0.30503978779840851</v>
      </c>
      <c r="FJ25" s="107">
        <v>797</v>
      </c>
      <c r="FK25" s="108">
        <f t="shared" ref="FK25" si="228">FJ25/$FC25</f>
        <v>0.35234305923961096</v>
      </c>
      <c r="FL25" s="107">
        <v>1266</v>
      </c>
      <c r="FM25" s="108">
        <f t="shared" ref="FM25" si="229">FL25/$FC25</f>
        <v>0.55968169761273212</v>
      </c>
      <c r="FN25" s="107">
        <v>90</v>
      </c>
      <c r="FO25" s="108">
        <v>0.12064343163538874</v>
      </c>
      <c r="FP25" s="107">
        <v>5</v>
      </c>
      <c r="FQ25" s="108">
        <v>6.7024128686327079E-3</v>
      </c>
      <c r="FR25" s="107">
        <v>46</v>
      </c>
      <c r="FS25" s="108">
        <v>0.1050228310502283</v>
      </c>
      <c r="FT25" s="110">
        <v>0</v>
      </c>
      <c r="FU25" s="108">
        <v>0</v>
      </c>
      <c r="FV25" s="107">
        <v>75</v>
      </c>
      <c r="FW25" s="108">
        <v>0.10259917920656635</v>
      </c>
      <c r="FX25" s="107">
        <v>0</v>
      </c>
      <c r="FY25" s="108">
        <v>0</v>
      </c>
      <c r="FZ25" s="107">
        <v>19</v>
      </c>
      <c r="GA25" s="108">
        <v>4.1214750542299353E-2</v>
      </c>
      <c r="GB25" s="107">
        <v>0</v>
      </c>
      <c r="GC25" s="108">
        <v>0</v>
      </c>
      <c r="GD25" s="107">
        <v>230</v>
      </c>
      <c r="GE25" s="117">
        <v>9.6801346801346805E-2</v>
      </c>
      <c r="GF25" s="107">
        <v>5</v>
      </c>
      <c r="GG25" s="117">
        <v>2.1043771043771043E-3</v>
      </c>
      <c r="GH25" s="107">
        <v>1446</v>
      </c>
      <c r="GI25" s="107">
        <v>214</v>
      </c>
      <c r="GJ25" s="108">
        <f t="shared" si="81"/>
        <v>0.14799446749654219</v>
      </c>
      <c r="GK25" s="107">
        <v>80</v>
      </c>
      <c r="GL25" s="108">
        <f t="shared" si="82"/>
        <v>0.37383177570093457</v>
      </c>
      <c r="GM25" s="107">
        <v>23</v>
      </c>
      <c r="GN25" s="108">
        <f t="shared" si="83"/>
        <v>0.10747663551401869</v>
      </c>
      <c r="GO25" s="107">
        <v>1232</v>
      </c>
      <c r="GP25" s="108">
        <f t="shared" si="84"/>
        <v>0.85200553250345779</v>
      </c>
      <c r="GQ25" s="107">
        <v>936</v>
      </c>
      <c r="GR25" s="108">
        <f t="shared" si="85"/>
        <v>0.75974025974025972</v>
      </c>
      <c r="GS25" s="107">
        <v>274</v>
      </c>
      <c r="GT25" s="108">
        <f t="shared" si="86"/>
        <v>0.22240259740259741</v>
      </c>
    </row>
    <row r="26" spans="1:202" x14ac:dyDescent="0.25">
      <c r="A26" s="104" t="s">
        <v>198</v>
      </c>
      <c r="B26" s="143">
        <v>51770</v>
      </c>
      <c r="C26" s="143">
        <v>13192</v>
      </c>
      <c r="D26" s="143">
        <v>9591</v>
      </c>
      <c r="E26" s="143">
        <v>4001</v>
      </c>
      <c r="F26" s="143">
        <v>1118</v>
      </c>
      <c r="G26" s="144">
        <f t="shared" si="2"/>
        <v>0.25481939347112226</v>
      </c>
      <c r="H26" s="144">
        <f t="shared" si="3"/>
        <v>0.18526173459532547</v>
      </c>
      <c r="I26" s="144">
        <f t="shared" si="4"/>
        <v>7.7284141394630093E-2</v>
      </c>
      <c r="J26" s="144">
        <f t="shared" si="5"/>
        <v>2.1595518640139078E-2</v>
      </c>
      <c r="K26" s="143">
        <v>4407</v>
      </c>
      <c r="L26" s="145">
        <f t="shared" si="6"/>
        <v>0.45949327494526121</v>
      </c>
      <c r="M26" s="143">
        <v>5184</v>
      </c>
      <c r="N26" s="145">
        <f t="shared" si="7"/>
        <v>0.54050672505473885</v>
      </c>
      <c r="O26" s="148">
        <v>36.799999999999997</v>
      </c>
      <c r="P26" s="107">
        <v>19960</v>
      </c>
      <c r="Q26" s="107">
        <v>8540</v>
      </c>
      <c r="R26" s="108">
        <f t="shared" si="8"/>
        <v>0.42785571142284567</v>
      </c>
      <c r="S26" s="107">
        <v>6410</v>
      </c>
      <c r="T26" s="149">
        <f t="shared" si="9"/>
        <v>0.32114228456913829</v>
      </c>
      <c r="U26" s="143">
        <v>4407</v>
      </c>
      <c r="V26" s="107">
        <v>286</v>
      </c>
      <c r="W26" s="108">
        <f t="shared" si="10"/>
        <v>6.4896755162241887E-2</v>
      </c>
      <c r="X26" s="107">
        <v>3085</v>
      </c>
      <c r="Y26" s="150">
        <f t="shared" si="11"/>
        <v>0.70002269117313365</v>
      </c>
      <c r="Z26" s="107">
        <v>118</v>
      </c>
      <c r="AA26" s="108">
        <f t="shared" si="12"/>
        <v>2.6775584297708193E-2</v>
      </c>
      <c r="AB26" s="107">
        <v>403</v>
      </c>
      <c r="AC26" s="108">
        <f t="shared" si="13"/>
        <v>9.1445427728613568E-2</v>
      </c>
      <c r="AD26" s="107">
        <v>515</v>
      </c>
      <c r="AE26" s="108">
        <f t="shared" si="14"/>
        <v>0.1168595416383027</v>
      </c>
      <c r="AF26" s="107">
        <v>5184</v>
      </c>
      <c r="AG26" s="107">
        <v>515</v>
      </c>
      <c r="AH26" s="108">
        <f t="shared" si="15"/>
        <v>9.9344135802469133E-2</v>
      </c>
      <c r="AI26" s="107">
        <v>2510</v>
      </c>
      <c r="AJ26" s="108">
        <f t="shared" si="16"/>
        <v>0.48418209876543211</v>
      </c>
      <c r="AK26" s="107">
        <v>138</v>
      </c>
      <c r="AL26" s="108">
        <f t="shared" si="17"/>
        <v>2.6620370370370371E-2</v>
      </c>
      <c r="AM26" s="107">
        <v>1500</v>
      </c>
      <c r="AN26" s="108">
        <f t="shared" si="18"/>
        <v>0.28935185185185186</v>
      </c>
      <c r="AO26" s="107">
        <v>521</v>
      </c>
      <c r="AP26" s="108">
        <f t="shared" si="19"/>
        <v>0.10050154320987655</v>
      </c>
      <c r="AQ26" s="107">
        <f t="shared" si="20"/>
        <v>9591</v>
      </c>
      <c r="AR26" s="107">
        <f t="shared" si="21"/>
        <v>801</v>
      </c>
      <c r="AS26" s="108">
        <f t="shared" si="22"/>
        <v>8.3515796058805131E-2</v>
      </c>
      <c r="AT26" s="107">
        <f t="shared" si="23"/>
        <v>5595</v>
      </c>
      <c r="AU26" s="108">
        <f t="shared" si="24"/>
        <v>0.58335939943697213</v>
      </c>
      <c r="AV26" s="107">
        <f t="shared" si="25"/>
        <v>256</v>
      </c>
      <c r="AW26" s="108">
        <f t="shared" si="26"/>
        <v>2.6691690126159941E-2</v>
      </c>
      <c r="AX26" s="107">
        <f t="shared" si="27"/>
        <v>1903</v>
      </c>
      <c r="AY26" s="108">
        <f t="shared" si="28"/>
        <v>0.19841518089875926</v>
      </c>
      <c r="AZ26" s="107">
        <f t="shared" si="29"/>
        <v>1036</v>
      </c>
      <c r="BA26" s="108">
        <f t="shared" si="30"/>
        <v>0.10801793347930351</v>
      </c>
      <c r="BB26" s="111">
        <v>4259</v>
      </c>
      <c r="BC26" s="111">
        <v>1275</v>
      </c>
      <c r="BD26" s="152">
        <f t="shared" si="31"/>
        <v>0.29936604836816155</v>
      </c>
      <c r="BE26" s="111">
        <v>4916</v>
      </c>
      <c r="BF26" s="111">
        <v>1139</v>
      </c>
      <c r="BG26" s="152">
        <f t="shared" si="0"/>
        <v>0.23169243287225386</v>
      </c>
      <c r="BH26" s="153">
        <f t="shared" si="32"/>
        <v>9175</v>
      </c>
      <c r="BI26" s="153">
        <f t="shared" si="33"/>
        <v>2414</v>
      </c>
      <c r="BJ26" s="154">
        <f t="shared" si="34"/>
        <v>0.26310626702997275</v>
      </c>
      <c r="BK26" s="107">
        <v>9591</v>
      </c>
      <c r="BL26" s="107">
        <v>2534</v>
      </c>
      <c r="BM26" s="108">
        <f t="shared" si="87"/>
        <v>0.26420602648316127</v>
      </c>
      <c r="BN26" s="107">
        <v>4407</v>
      </c>
      <c r="BO26" s="107">
        <v>812</v>
      </c>
      <c r="BP26" s="108">
        <f t="shared" si="35"/>
        <v>0.1842523258452462</v>
      </c>
      <c r="BQ26" s="107">
        <v>5184</v>
      </c>
      <c r="BR26" s="107">
        <v>1722</v>
      </c>
      <c r="BS26" s="108">
        <f t="shared" si="36"/>
        <v>0.33217592592592593</v>
      </c>
      <c r="BT26" s="113">
        <v>52330</v>
      </c>
      <c r="BU26" s="113">
        <v>10100</v>
      </c>
      <c r="BV26" s="156">
        <f t="shared" si="37"/>
        <v>0.19300592394420027</v>
      </c>
      <c r="BW26" s="156">
        <f t="shared" si="38"/>
        <v>1</v>
      </c>
      <c r="BX26" s="113">
        <v>48985</v>
      </c>
      <c r="BY26" s="113">
        <v>9917</v>
      </c>
      <c r="BZ26" s="156">
        <f t="shared" si="39"/>
        <v>0.20244972950903337</v>
      </c>
      <c r="CA26" s="156">
        <f t="shared" si="40"/>
        <v>0.98188118811881187</v>
      </c>
      <c r="CB26" s="113">
        <v>776</v>
      </c>
      <c r="CC26" s="113">
        <v>34</v>
      </c>
      <c r="CD26" s="156">
        <f t="shared" si="41"/>
        <v>4.3814432989690719E-2</v>
      </c>
      <c r="CE26" s="156">
        <f t="shared" si="88"/>
        <v>3.3663366336633663E-3</v>
      </c>
      <c r="CF26" s="113">
        <v>113</v>
      </c>
      <c r="CG26" s="113">
        <v>26</v>
      </c>
      <c r="CH26" s="156">
        <f t="shared" si="42"/>
        <v>0.23008849557522124</v>
      </c>
      <c r="CI26" s="156">
        <f t="shared" si="43"/>
        <v>2.5742574257425744E-3</v>
      </c>
      <c r="CJ26" s="113">
        <v>517</v>
      </c>
      <c r="CK26" s="113">
        <v>31</v>
      </c>
      <c r="CL26" s="161">
        <f t="shared" si="44"/>
        <v>5.9961315280464215E-2</v>
      </c>
      <c r="CM26" s="156">
        <f t="shared" si="45"/>
        <v>3.0693069306930694E-3</v>
      </c>
      <c r="CN26" s="113">
        <v>19</v>
      </c>
      <c r="CO26" s="113">
        <v>2</v>
      </c>
      <c r="CP26" s="161">
        <f t="shared" si="46"/>
        <v>0.10526315789473684</v>
      </c>
      <c r="CQ26" s="156">
        <f t="shared" si="47"/>
        <v>1.9801980198019803E-4</v>
      </c>
      <c r="CR26" s="105">
        <v>149</v>
      </c>
      <c r="CS26" s="105">
        <v>0</v>
      </c>
      <c r="CT26" s="106">
        <f t="shared" si="48"/>
        <v>0</v>
      </c>
      <c r="CU26" s="106">
        <f t="shared" si="49"/>
        <v>0</v>
      </c>
      <c r="CV26" s="113">
        <v>478</v>
      </c>
      <c r="CW26" s="113">
        <v>39</v>
      </c>
      <c r="CX26" s="156">
        <f t="shared" si="50"/>
        <v>8.1589958158995821E-2</v>
      </c>
      <c r="CY26" s="156">
        <f t="shared" si="51"/>
        <v>3.8613861386138613E-3</v>
      </c>
      <c r="CZ26" s="113">
        <v>1442</v>
      </c>
      <c r="DA26" s="113">
        <v>51</v>
      </c>
      <c r="DB26" s="156">
        <f t="shared" si="52"/>
        <v>3.5367545076282939E-2</v>
      </c>
      <c r="DC26" s="156">
        <f t="shared" si="89"/>
        <v>5.0495049504950497E-3</v>
      </c>
      <c r="DD26" s="107">
        <v>4407</v>
      </c>
      <c r="DE26" s="107">
        <v>309</v>
      </c>
      <c r="DF26" s="107">
        <v>2162</v>
      </c>
      <c r="DG26" s="107">
        <v>1047</v>
      </c>
      <c r="DH26" s="107">
        <v>889</v>
      </c>
      <c r="DI26" s="149">
        <f t="shared" si="53"/>
        <v>7.0115724982981617E-2</v>
      </c>
      <c r="DJ26" s="149">
        <f t="shared" si="54"/>
        <v>0.49058316314953482</v>
      </c>
      <c r="DK26" s="149">
        <f t="shared" si="55"/>
        <v>0.43930111186748355</v>
      </c>
      <c r="DL26" s="107">
        <v>5184</v>
      </c>
      <c r="DM26" s="107">
        <v>212</v>
      </c>
      <c r="DN26" s="107">
        <v>2383</v>
      </c>
      <c r="DO26" s="107">
        <v>1421</v>
      </c>
      <c r="DP26" s="107">
        <v>1168</v>
      </c>
      <c r="DQ26" s="149">
        <f t="shared" si="56"/>
        <v>4.0895061728395063E-2</v>
      </c>
      <c r="DR26" s="149">
        <f t="shared" si="57"/>
        <v>0.45968364197530864</v>
      </c>
      <c r="DS26" s="149">
        <f t="shared" si="58"/>
        <v>0.49942129629629628</v>
      </c>
      <c r="DT26" s="107">
        <f t="shared" si="59"/>
        <v>9591</v>
      </c>
      <c r="DU26" s="107">
        <f t="shared" si="60"/>
        <v>521</v>
      </c>
      <c r="DV26" s="107">
        <f t="shared" si="61"/>
        <v>4545</v>
      </c>
      <c r="DW26" s="107">
        <f t="shared" si="62"/>
        <v>2468</v>
      </c>
      <c r="DX26" s="107">
        <f t="shared" si="63"/>
        <v>2057</v>
      </c>
      <c r="DY26" s="108">
        <f t="shared" si="64"/>
        <v>5.4321759983317695E-2</v>
      </c>
      <c r="DZ26" s="108">
        <f t="shared" si="65"/>
        <v>0.47388176415389427</v>
      </c>
      <c r="EA26" s="108">
        <f t="shared" si="66"/>
        <v>0.47179647586278806</v>
      </c>
      <c r="EB26" s="107">
        <v>5831</v>
      </c>
      <c r="EC26" s="110">
        <v>477</v>
      </c>
      <c r="ED26" s="108">
        <f t="shared" si="67"/>
        <v>8.1804150231521183E-2</v>
      </c>
      <c r="EE26" s="107">
        <v>1094</v>
      </c>
      <c r="EF26" s="108">
        <f t="shared" si="67"/>
        <v>0.18761790430457898</v>
      </c>
      <c r="EG26" s="107">
        <v>1843</v>
      </c>
      <c r="EH26" s="108">
        <f t="shared" ref="EH26" si="230">EG26/$EB26</f>
        <v>0.31606928485679986</v>
      </c>
      <c r="EI26" s="107">
        <v>2686</v>
      </c>
      <c r="EJ26" s="108">
        <f t="shared" ref="EJ26" si="231">EI26/$EB26</f>
        <v>0.46064139941690962</v>
      </c>
      <c r="EK26" s="107">
        <v>4067</v>
      </c>
      <c r="EL26" s="108">
        <f t="shared" ref="EL26" si="232">EK26/$EB26</f>
        <v>0.69747899159663862</v>
      </c>
      <c r="EM26" s="107">
        <v>4780</v>
      </c>
      <c r="EN26" s="108">
        <f t="shared" ref="EN26" si="233">EM26/$EB26</f>
        <v>0.81975647401817875</v>
      </c>
      <c r="EO26" s="163">
        <v>66858</v>
      </c>
      <c r="EP26" s="163">
        <v>32319</v>
      </c>
      <c r="EQ26" s="163">
        <v>79621</v>
      </c>
      <c r="ER26" s="163">
        <v>88212</v>
      </c>
      <c r="ES26" s="163">
        <v>53912</v>
      </c>
      <c r="ET26" s="107">
        <v>4259</v>
      </c>
      <c r="EU26" s="107">
        <v>250</v>
      </c>
      <c r="EV26" s="108">
        <f t="shared" si="72"/>
        <v>5.8699225170227756E-2</v>
      </c>
      <c r="EW26" s="107">
        <v>4916</v>
      </c>
      <c r="EX26" s="107">
        <v>536</v>
      </c>
      <c r="EY26" s="108">
        <f t="shared" si="73"/>
        <v>0.10903173311635476</v>
      </c>
      <c r="EZ26" s="107">
        <f t="shared" si="74"/>
        <v>9175</v>
      </c>
      <c r="FA26" s="107">
        <f t="shared" si="75"/>
        <v>786</v>
      </c>
      <c r="FB26" s="108">
        <f t="shared" si="76"/>
        <v>8.5667574931880111E-2</v>
      </c>
      <c r="FC26" s="107">
        <v>9175</v>
      </c>
      <c r="FD26" s="107">
        <v>786</v>
      </c>
      <c r="FE26" s="108">
        <f t="shared" si="77"/>
        <v>8.5667574931880111E-2</v>
      </c>
      <c r="FF26" s="107">
        <v>1644</v>
      </c>
      <c r="FG26" s="108">
        <f t="shared" si="77"/>
        <v>0.17918256130790192</v>
      </c>
      <c r="FH26" s="107">
        <v>2299</v>
      </c>
      <c r="FI26" s="108">
        <f t="shared" ref="FI26" si="234">FH26/$FC26</f>
        <v>0.25057220708446865</v>
      </c>
      <c r="FJ26" s="107">
        <v>2617</v>
      </c>
      <c r="FK26" s="108">
        <f t="shared" ref="FK26" si="235">FJ26/$FC26</f>
        <v>0.28523160762942779</v>
      </c>
      <c r="FL26" s="107">
        <v>4314</v>
      </c>
      <c r="FM26" s="108">
        <f t="shared" ref="FM26" si="236">FL26/$FC26</f>
        <v>0.47019073569482289</v>
      </c>
      <c r="FN26" s="107">
        <v>873</v>
      </c>
      <c r="FO26" s="108">
        <v>0.3145945945945946</v>
      </c>
      <c r="FP26" s="107">
        <v>30</v>
      </c>
      <c r="FQ26" s="108">
        <v>1.0810810810810811E-2</v>
      </c>
      <c r="FR26" s="107">
        <v>105</v>
      </c>
      <c r="FS26" s="108">
        <v>6.4338235294117641E-2</v>
      </c>
      <c r="FT26" s="110">
        <v>0</v>
      </c>
      <c r="FU26" s="108">
        <v>0</v>
      </c>
      <c r="FV26" s="107">
        <v>700</v>
      </c>
      <c r="FW26" s="108">
        <v>0.24866785079928952</v>
      </c>
      <c r="FX26" s="107">
        <v>45</v>
      </c>
      <c r="FY26" s="108">
        <v>1.5985790408525755E-2</v>
      </c>
      <c r="FZ26" s="107">
        <v>139</v>
      </c>
      <c r="GA26" s="108">
        <v>5.8674546222034614E-2</v>
      </c>
      <c r="GB26" s="107">
        <v>3</v>
      </c>
      <c r="GC26" s="108">
        <v>1.2663571127057829E-3</v>
      </c>
      <c r="GD26" s="107">
        <v>1817</v>
      </c>
      <c r="GE26" s="117">
        <v>0.18944844124700239</v>
      </c>
      <c r="GF26" s="107">
        <v>78</v>
      </c>
      <c r="GG26" s="117">
        <v>8.1326243353143576E-3</v>
      </c>
      <c r="GH26" s="107">
        <v>5831</v>
      </c>
      <c r="GI26" s="107">
        <v>925</v>
      </c>
      <c r="GJ26" s="108">
        <f t="shared" si="81"/>
        <v>0.15863488252443836</v>
      </c>
      <c r="GK26" s="107">
        <v>323</v>
      </c>
      <c r="GL26" s="108">
        <f t="shared" si="82"/>
        <v>0.34918918918918918</v>
      </c>
      <c r="GM26" s="107">
        <v>394</v>
      </c>
      <c r="GN26" s="108">
        <f t="shared" si="83"/>
        <v>0.42594594594594593</v>
      </c>
      <c r="GO26" s="107">
        <v>4906</v>
      </c>
      <c r="GP26" s="108">
        <f t="shared" si="84"/>
        <v>0.84136511747556164</v>
      </c>
      <c r="GQ26" s="107">
        <v>3905</v>
      </c>
      <c r="GR26" s="108">
        <f t="shared" si="85"/>
        <v>0.79596412556053808</v>
      </c>
      <c r="GS26" s="107">
        <v>932</v>
      </c>
      <c r="GT26" s="108">
        <f t="shared" si="86"/>
        <v>0.18997146351406441</v>
      </c>
    </row>
    <row r="27" spans="1:202" x14ac:dyDescent="0.25">
      <c r="A27" s="104" t="s">
        <v>199</v>
      </c>
      <c r="B27" s="143">
        <v>37017</v>
      </c>
      <c r="C27" s="143">
        <v>10579</v>
      </c>
      <c r="D27" s="143">
        <v>7634</v>
      </c>
      <c r="E27" s="143">
        <v>3001</v>
      </c>
      <c r="F27" s="143">
        <v>1005</v>
      </c>
      <c r="G27" s="144">
        <f t="shared" si="2"/>
        <v>0.28578761109760381</v>
      </c>
      <c r="H27" s="144">
        <f t="shared" si="3"/>
        <v>0.20622957019747684</v>
      </c>
      <c r="I27" s="144">
        <f t="shared" si="4"/>
        <v>8.1070859334900186E-2</v>
      </c>
      <c r="J27" s="144">
        <f t="shared" si="5"/>
        <v>2.7149687981197827E-2</v>
      </c>
      <c r="K27" s="143">
        <v>3674</v>
      </c>
      <c r="L27" s="145">
        <f t="shared" si="6"/>
        <v>0.48126801152737753</v>
      </c>
      <c r="M27" s="143">
        <v>3960</v>
      </c>
      <c r="N27" s="145">
        <f t="shared" si="7"/>
        <v>0.51873198847262247</v>
      </c>
      <c r="O27" s="148">
        <v>43.6</v>
      </c>
      <c r="P27" s="107">
        <v>15775</v>
      </c>
      <c r="Q27" s="107">
        <v>7326</v>
      </c>
      <c r="R27" s="108">
        <f t="shared" si="8"/>
        <v>0.46440570522979396</v>
      </c>
      <c r="S27" s="107">
        <v>5491</v>
      </c>
      <c r="T27" s="149">
        <f t="shared" si="9"/>
        <v>0.34808240887480191</v>
      </c>
      <c r="U27" s="143">
        <v>3674</v>
      </c>
      <c r="V27" s="107">
        <v>164</v>
      </c>
      <c r="W27" s="108">
        <f t="shared" si="10"/>
        <v>4.463799673380512E-2</v>
      </c>
      <c r="X27" s="107">
        <v>2438</v>
      </c>
      <c r="Y27" s="150">
        <f t="shared" si="11"/>
        <v>0.66358192705498098</v>
      </c>
      <c r="Z27" s="107">
        <v>110</v>
      </c>
      <c r="AA27" s="108">
        <f t="shared" si="12"/>
        <v>2.9940119760479042E-2</v>
      </c>
      <c r="AB27" s="107">
        <v>488</v>
      </c>
      <c r="AC27" s="108">
        <f t="shared" si="13"/>
        <v>0.13282525857376157</v>
      </c>
      <c r="AD27" s="107">
        <v>474</v>
      </c>
      <c r="AE27" s="108">
        <f t="shared" si="14"/>
        <v>0.12901469787697334</v>
      </c>
      <c r="AF27" s="107">
        <v>3960</v>
      </c>
      <c r="AG27" s="107">
        <v>164</v>
      </c>
      <c r="AH27" s="108">
        <f t="shared" si="15"/>
        <v>4.1414141414141417E-2</v>
      </c>
      <c r="AI27" s="107">
        <v>1779</v>
      </c>
      <c r="AJ27" s="108">
        <f t="shared" si="16"/>
        <v>0.44924242424242422</v>
      </c>
      <c r="AK27" s="107">
        <v>147</v>
      </c>
      <c r="AL27" s="108">
        <f t="shared" si="17"/>
        <v>3.7121212121212124E-2</v>
      </c>
      <c r="AM27" s="107">
        <v>1252</v>
      </c>
      <c r="AN27" s="108">
        <f t="shared" si="18"/>
        <v>0.31616161616161614</v>
      </c>
      <c r="AO27" s="107">
        <v>618</v>
      </c>
      <c r="AP27" s="108">
        <f t="shared" si="19"/>
        <v>0.15606060606060607</v>
      </c>
      <c r="AQ27" s="107">
        <f t="shared" si="20"/>
        <v>7634</v>
      </c>
      <c r="AR27" s="107">
        <f t="shared" si="21"/>
        <v>328</v>
      </c>
      <c r="AS27" s="108">
        <f t="shared" si="22"/>
        <v>4.2965679853287919E-2</v>
      </c>
      <c r="AT27" s="107">
        <f t="shared" si="23"/>
        <v>4217</v>
      </c>
      <c r="AU27" s="108">
        <f t="shared" si="24"/>
        <v>0.55239717055279014</v>
      </c>
      <c r="AV27" s="107">
        <f t="shared" si="25"/>
        <v>257</v>
      </c>
      <c r="AW27" s="108">
        <f t="shared" si="26"/>
        <v>3.3665182080167673E-2</v>
      </c>
      <c r="AX27" s="107">
        <f t="shared" si="27"/>
        <v>1740</v>
      </c>
      <c r="AY27" s="108">
        <f t="shared" si="28"/>
        <v>0.22792769190463716</v>
      </c>
      <c r="AZ27" s="107">
        <f t="shared" si="29"/>
        <v>1092</v>
      </c>
      <c r="BA27" s="108">
        <f t="shared" si="30"/>
        <v>0.14304427560911712</v>
      </c>
      <c r="BB27" s="111">
        <v>3617</v>
      </c>
      <c r="BC27" s="111">
        <v>1132</v>
      </c>
      <c r="BD27" s="152">
        <f t="shared" si="31"/>
        <v>0.31296654686204034</v>
      </c>
      <c r="BE27" s="111">
        <v>3780</v>
      </c>
      <c r="BF27" s="111">
        <v>915</v>
      </c>
      <c r="BG27" s="152">
        <f t="shared" si="0"/>
        <v>0.24206349206349206</v>
      </c>
      <c r="BH27" s="153">
        <f t="shared" si="32"/>
        <v>7397</v>
      </c>
      <c r="BI27" s="153">
        <f t="shared" si="33"/>
        <v>2047</v>
      </c>
      <c r="BJ27" s="154">
        <f t="shared" si="34"/>
        <v>0.27673381100446126</v>
      </c>
      <c r="BK27" s="107">
        <v>7634</v>
      </c>
      <c r="BL27" s="107">
        <v>2442</v>
      </c>
      <c r="BM27" s="108">
        <f t="shared" si="87"/>
        <v>0.31988472622478387</v>
      </c>
      <c r="BN27" s="107">
        <v>3674</v>
      </c>
      <c r="BO27" s="107">
        <v>863</v>
      </c>
      <c r="BP27" s="108">
        <f t="shared" si="35"/>
        <v>0.23489384866630375</v>
      </c>
      <c r="BQ27" s="107">
        <v>3960</v>
      </c>
      <c r="BR27" s="107">
        <v>1579</v>
      </c>
      <c r="BS27" s="108">
        <f t="shared" si="36"/>
        <v>0.39873737373737372</v>
      </c>
      <c r="BT27" s="113">
        <v>37183</v>
      </c>
      <c r="BU27" s="113">
        <v>8210</v>
      </c>
      <c r="BV27" s="156">
        <f t="shared" si="37"/>
        <v>0.22079982787833149</v>
      </c>
      <c r="BW27" s="156">
        <f t="shared" si="38"/>
        <v>1</v>
      </c>
      <c r="BX27" s="113">
        <v>34416</v>
      </c>
      <c r="BY27" s="113">
        <v>8034</v>
      </c>
      <c r="BZ27" s="156">
        <f t="shared" si="39"/>
        <v>0.23343793584379358</v>
      </c>
      <c r="CA27" s="156">
        <f t="shared" si="40"/>
        <v>0.97856272838002434</v>
      </c>
      <c r="CB27" s="113">
        <v>279</v>
      </c>
      <c r="CC27" s="113">
        <v>20</v>
      </c>
      <c r="CD27" s="156">
        <f t="shared" si="41"/>
        <v>7.1684587813620068E-2</v>
      </c>
      <c r="CE27" s="156">
        <f t="shared" si="88"/>
        <v>2.4360535931790498E-3</v>
      </c>
      <c r="CF27" s="113">
        <v>93</v>
      </c>
      <c r="CG27" s="113">
        <v>13</v>
      </c>
      <c r="CH27" s="156">
        <f t="shared" si="42"/>
        <v>0.13978494623655913</v>
      </c>
      <c r="CI27" s="156">
        <f t="shared" si="43"/>
        <v>1.5834348355663825E-3</v>
      </c>
      <c r="CJ27" s="113">
        <v>235</v>
      </c>
      <c r="CK27" s="113">
        <v>24</v>
      </c>
      <c r="CL27" s="161">
        <f t="shared" si="44"/>
        <v>0.10212765957446808</v>
      </c>
      <c r="CM27" s="156">
        <f t="shared" si="45"/>
        <v>2.92326431181486E-3</v>
      </c>
      <c r="CN27" s="113">
        <v>21</v>
      </c>
      <c r="CO27" s="113">
        <v>0</v>
      </c>
      <c r="CP27" s="161">
        <f t="shared" si="46"/>
        <v>0</v>
      </c>
      <c r="CQ27" s="156">
        <f t="shared" si="47"/>
        <v>0</v>
      </c>
      <c r="CR27" s="105">
        <v>134</v>
      </c>
      <c r="CS27" s="105">
        <v>0</v>
      </c>
      <c r="CT27" s="106">
        <f t="shared" si="48"/>
        <v>0</v>
      </c>
      <c r="CU27" s="106">
        <f t="shared" si="49"/>
        <v>0</v>
      </c>
      <c r="CV27" s="113">
        <v>480</v>
      </c>
      <c r="CW27" s="113">
        <v>30</v>
      </c>
      <c r="CX27" s="156">
        <f t="shared" si="50"/>
        <v>6.25E-2</v>
      </c>
      <c r="CY27" s="156">
        <f t="shared" si="51"/>
        <v>3.6540803897685747E-3</v>
      </c>
      <c r="CZ27" s="113">
        <v>1659</v>
      </c>
      <c r="DA27" s="113">
        <v>89</v>
      </c>
      <c r="DB27" s="156">
        <f t="shared" si="52"/>
        <v>5.3646775165762509E-2</v>
      </c>
      <c r="DC27" s="156">
        <f t="shared" si="89"/>
        <v>1.0840438489646772E-2</v>
      </c>
      <c r="DD27" s="107">
        <v>3674</v>
      </c>
      <c r="DE27" s="107">
        <v>289</v>
      </c>
      <c r="DF27" s="107">
        <v>1581</v>
      </c>
      <c r="DG27" s="107">
        <v>1006</v>
      </c>
      <c r="DH27" s="107">
        <v>798</v>
      </c>
      <c r="DI27" s="149">
        <f t="shared" si="53"/>
        <v>7.8660860097985841E-2</v>
      </c>
      <c r="DJ27" s="149">
        <f t="shared" si="54"/>
        <v>0.43032117583015789</v>
      </c>
      <c r="DK27" s="149">
        <f t="shared" si="55"/>
        <v>0.49101796407185627</v>
      </c>
      <c r="DL27" s="107">
        <v>3960</v>
      </c>
      <c r="DM27" s="107">
        <v>356</v>
      </c>
      <c r="DN27" s="107">
        <v>1724</v>
      </c>
      <c r="DO27" s="107">
        <v>1098</v>
      </c>
      <c r="DP27" s="107">
        <v>782</v>
      </c>
      <c r="DQ27" s="149">
        <f t="shared" si="56"/>
        <v>8.9898989898989895E-2</v>
      </c>
      <c r="DR27" s="149">
        <f t="shared" si="57"/>
        <v>0.43535353535353533</v>
      </c>
      <c r="DS27" s="149">
        <f t="shared" si="58"/>
        <v>0.47474747474747475</v>
      </c>
      <c r="DT27" s="107">
        <f t="shared" si="59"/>
        <v>7634</v>
      </c>
      <c r="DU27" s="107">
        <f t="shared" si="60"/>
        <v>645</v>
      </c>
      <c r="DV27" s="107">
        <f t="shared" si="61"/>
        <v>3305</v>
      </c>
      <c r="DW27" s="107">
        <f t="shared" si="62"/>
        <v>2104</v>
      </c>
      <c r="DX27" s="107">
        <f t="shared" si="63"/>
        <v>1580</v>
      </c>
      <c r="DY27" s="108">
        <f t="shared" si="64"/>
        <v>8.4490437516374112E-2</v>
      </c>
      <c r="DZ27" s="108">
        <f t="shared" si="65"/>
        <v>0.4329316216924286</v>
      </c>
      <c r="EA27" s="108">
        <f t="shared" si="66"/>
        <v>0.48257794079119726</v>
      </c>
      <c r="EB27" s="107">
        <v>4968</v>
      </c>
      <c r="EC27" s="110">
        <v>489</v>
      </c>
      <c r="ED27" s="108">
        <f t="shared" si="67"/>
        <v>9.8429951690821263E-2</v>
      </c>
      <c r="EE27" s="107">
        <v>962</v>
      </c>
      <c r="EF27" s="108">
        <f t="shared" si="67"/>
        <v>0.19363929146537842</v>
      </c>
      <c r="EG27" s="107">
        <v>1502</v>
      </c>
      <c r="EH27" s="108">
        <f t="shared" ref="EH27" si="237">EG27/$EB27</f>
        <v>0.30233494363929148</v>
      </c>
      <c r="EI27" s="107">
        <v>2110</v>
      </c>
      <c r="EJ27" s="108">
        <f t="shared" ref="EJ27" si="238">EI27/$EB27</f>
        <v>0.42471819645732689</v>
      </c>
      <c r="EK27" s="107">
        <v>3158</v>
      </c>
      <c r="EL27" s="108">
        <f t="shared" ref="EL27" si="239">EK27/$EB27</f>
        <v>0.63566827697262485</v>
      </c>
      <c r="EM27" s="107">
        <v>3845</v>
      </c>
      <c r="EN27" s="108">
        <f t="shared" ref="EN27" si="240">EM27/$EB27</f>
        <v>0.77395330112721417</v>
      </c>
      <c r="EO27" s="163">
        <v>82852</v>
      </c>
      <c r="EP27" s="163">
        <v>60000</v>
      </c>
      <c r="EQ27" s="163">
        <v>94803</v>
      </c>
      <c r="ER27" s="163">
        <v>97264</v>
      </c>
      <c r="ES27" s="163">
        <v>56372</v>
      </c>
      <c r="ET27" s="107">
        <v>3617</v>
      </c>
      <c r="EU27" s="107">
        <v>168</v>
      </c>
      <c r="EV27" s="108">
        <f t="shared" si="72"/>
        <v>4.6447332043129667E-2</v>
      </c>
      <c r="EW27" s="107">
        <v>3780</v>
      </c>
      <c r="EX27" s="107">
        <v>479</v>
      </c>
      <c r="EY27" s="108">
        <f t="shared" si="73"/>
        <v>0.12671957671957673</v>
      </c>
      <c r="EZ27" s="107">
        <f t="shared" si="74"/>
        <v>7397</v>
      </c>
      <c r="FA27" s="107">
        <f t="shared" si="75"/>
        <v>647</v>
      </c>
      <c r="FB27" s="108">
        <f t="shared" si="76"/>
        <v>8.746789238880627E-2</v>
      </c>
      <c r="FC27" s="107">
        <v>7397</v>
      </c>
      <c r="FD27" s="107">
        <v>647</v>
      </c>
      <c r="FE27" s="108">
        <f t="shared" si="77"/>
        <v>8.746789238880627E-2</v>
      </c>
      <c r="FF27" s="107">
        <v>1103</v>
      </c>
      <c r="FG27" s="108">
        <f t="shared" si="77"/>
        <v>0.14911450588076247</v>
      </c>
      <c r="FH27" s="107">
        <v>1641</v>
      </c>
      <c r="FI27" s="108">
        <f t="shared" ref="FI27" si="241">FH27/$FC27</f>
        <v>0.22184669460592132</v>
      </c>
      <c r="FJ27" s="107">
        <v>1867</v>
      </c>
      <c r="FK27" s="108">
        <f t="shared" ref="FK27" si="242">FJ27/$FC27</f>
        <v>0.25239962146816275</v>
      </c>
      <c r="FL27" s="107">
        <v>3048</v>
      </c>
      <c r="FM27" s="108">
        <f t="shared" ref="FM27" si="243">FL27/$FC27</f>
        <v>0.41205894281465461</v>
      </c>
      <c r="FN27" s="107">
        <v>735</v>
      </c>
      <c r="FO27" s="108">
        <v>0.3150450064294899</v>
      </c>
      <c r="FP27" s="107">
        <v>4</v>
      </c>
      <c r="FQ27" s="108">
        <v>1.7145306472353193E-3</v>
      </c>
      <c r="FR27" s="107">
        <v>150</v>
      </c>
      <c r="FS27" s="108">
        <v>0.11185682326621924</v>
      </c>
      <c r="FT27" s="110">
        <v>1</v>
      </c>
      <c r="FU27" s="108">
        <v>7.4571215510812821E-4</v>
      </c>
      <c r="FV27" s="107">
        <v>538</v>
      </c>
      <c r="FW27" s="108">
        <v>0.23391304347826086</v>
      </c>
      <c r="FX27" s="107">
        <v>8</v>
      </c>
      <c r="FY27" s="108">
        <v>3.4782608695652175E-3</v>
      </c>
      <c r="FZ27" s="107">
        <v>78</v>
      </c>
      <c r="GA27" s="108">
        <v>4.6987951807228916E-2</v>
      </c>
      <c r="GB27" s="107">
        <v>4</v>
      </c>
      <c r="GC27" s="108">
        <v>2.4096385542168677E-3</v>
      </c>
      <c r="GD27" s="107">
        <v>1501</v>
      </c>
      <c r="GE27" s="117">
        <v>0.19662038249934505</v>
      </c>
      <c r="GF27" s="107">
        <v>17</v>
      </c>
      <c r="GG27" s="117">
        <v>2.2268797484935815E-3</v>
      </c>
      <c r="GH27" s="107">
        <v>4968</v>
      </c>
      <c r="GI27" s="107">
        <v>1038</v>
      </c>
      <c r="GJ27" s="108">
        <f t="shared" si="81"/>
        <v>0.20893719806763286</v>
      </c>
      <c r="GK27" s="107">
        <v>401</v>
      </c>
      <c r="GL27" s="108">
        <f t="shared" si="82"/>
        <v>0.38631984585741813</v>
      </c>
      <c r="GM27" s="107">
        <v>501</v>
      </c>
      <c r="GN27" s="108">
        <f t="shared" si="83"/>
        <v>0.48265895953757226</v>
      </c>
      <c r="GO27" s="107">
        <v>3930</v>
      </c>
      <c r="GP27" s="108">
        <f t="shared" si="84"/>
        <v>0.79106280193236711</v>
      </c>
      <c r="GQ27" s="107">
        <v>3034</v>
      </c>
      <c r="GR27" s="108">
        <f t="shared" si="85"/>
        <v>0.77201017811704831</v>
      </c>
      <c r="GS27" s="107">
        <v>821</v>
      </c>
      <c r="GT27" s="108">
        <f t="shared" si="86"/>
        <v>0.20890585241730281</v>
      </c>
    </row>
    <row r="28" spans="1:202" x14ac:dyDescent="0.25">
      <c r="A28" s="104" t="s">
        <v>200</v>
      </c>
      <c r="B28" s="143">
        <v>19263</v>
      </c>
      <c r="C28" s="143">
        <v>6268</v>
      </c>
      <c r="D28" s="143">
        <v>4527</v>
      </c>
      <c r="E28" s="143">
        <v>1852</v>
      </c>
      <c r="F28" s="143">
        <v>558</v>
      </c>
      <c r="G28" s="144">
        <f t="shared" si="2"/>
        <v>0.32539064527851319</v>
      </c>
      <c r="H28" s="144">
        <f t="shared" si="3"/>
        <v>0.23501012303379537</v>
      </c>
      <c r="I28" s="144">
        <f t="shared" si="4"/>
        <v>9.6142864558999119E-2</v>
      </c>
      <c r="J28" s="144">
        <f t="shared" si="5"/>
        <v>2.8967450552873385E-2</v>
      </c>
      <c r="K28" s="143">
        <v>2137</v>
      </c>
      <c r="L28" s="145">
        <f t="shared" si="6"/>
        <v>0.47205654959134086</v>
      </c>
      <c r="M28" s="143">
        <v>2390</v>
      </c>
      <c r="N28" s="145">
        <f t="shared" si="7"/>
        <v>0.5279434504086592</v>
      </c>
      <c r="O28" s="148">
        <v>45.6</v>
      </c>
      <c r="P28" s="107">
        <v>8285</v>
      </c>
      <c r="Q28" s="107">
        <v>4173</v>
      </c>
      <c r="R28" s="108">
        <f t="shared" si="8"/>
        <v>0.50368135184067597</v>
      </c>
      <c r="S28" s="107">
        <v>3161</v>
      </c>
      <c r="T28" s="149">
        <f t="shared" si="9"/>
        <v>0.38153289076644537</v>
      </c>
      <c r="U28" s="143">
        <v>2137</v>
      </c>
      <c r="V28" s="107">
        <v>111</v>
      </c>
      <c r="W28" s="108">
        <f t="shared" si="10"/>
        <v>5.1941974730931213E-2</v>
      </c>
      <c r="X28" s="107">
        <v>1494</v>
      </c>
      <c r="Y28" s="150">
        <f t="shared" si="11"/>
        <v>0.69911090313523627</v>
      </c>
      <c r="Z28" s="107">
        <v>58</v>
      </c>
      <c r="AA28" s="108">
        <f t="shared" si="12"/>
        <v>2.7140851661207301E-2</v>
      </c>
      <c r="AB28" s="107">
        <v>238</v>
      </c>
      <c r="AC28" s="108">
        <f t="shared" si="13"/>
        <v>0.11137108095460926</v>
      </c>
      <c r="AD28" s="107">
        <v>236</v>
      </c>
      <c r="AE28" s="108">
        <f t="shared" si="14"/>
        <v>0.11043518951801591</v>
      </c>
      <c r="AF28" s="107">
        <v>2390</v>
      </c>
      <c r="AG28" s="107">
        <v>161</v>
      </c>
      <c r="AH28" s="108">
        <f t="shared" si="15"/>
        <v>6.7364016736401675E-2</v>
      </c>
      <c r="AI28" s="107">
        <v>1106</v>
      </c>
      <c r="AJ28" s="108">
        <f t="shared" si="16"/>
        <v>0.46276150627615065</v>
      </c>
      <c r="AK28" s="107">
        <v>47</v>
      </c>
      <c r="AL28" s="108">
        <f t="shared" si="17"/>
        <v>1.9665271966527197E-2</v>
      </c>
      <c r="AM28" s="107">
        <v>665</v>
      </c>
      <c r="AN28" s="108">
        <f t="shared" si="18"/>
        <v>0.27824267782426776</v>
      </c>
      <c r="AO28" s="107">
        <v>411</v>
      </c>
      <c r="AP28" s="108">
        <f t="shared" si="19"/>
        <v>0.17196652719665273</v>
      </c>
      <c r="AQ28" s="107">
        <f t="shared" si="20"/>
        <v>4527</v>
      </c>
      <c r="AR28" s="107">
        <f t="shared" si="21"/>
        <v>272</v>
      </c>
      <c r="AS28" s="108">
        <f t="shared" si="22"/>
        <v>6.0083940799646567E-2</v>
      </c>
      <c r="AT28" s="107">
        <f t="shared" si="23"/>
        <v>2600</v>
      </c>
      <c r="AU28" s="108">
        <f t="shared" si="24"/>
        <v>0.57433178705544508</v>
      </c>
      <c r="AV28" s="107">
        <f t="shared" si="25"/>
        <v>105</v>
      </c>
      <c r="AW28" s="108">
        <f t="shared" si="26"/>
        <v>2.3194168323392977E-2</v>
      </c>
      <c r="AX28" s="107">
        <f t="shared" si="27"/>
        <v>903</v>
      </c>
      <c r="AY28" s="108">
        <f t="shared" si="28"/>
        <v>0.19946984758117958</v>
      </c>
      <c r="AZ28" s="107">
        <f t="shared" si="29"/>
        <v>647</v>
      </c>
      <c r="BA28" s="108">
        <f t="shared" si="30"/>
        <v>0.14292025624033577</v>
      </c>
      <c r="BB28" s="111">
        <v>2112</v>
      </c>
      <c r="BC28" s="111">
        <v>591</v>
      </c>
      <c r="BD28" s="152">
        <f t="shared" si="31"/>
        <v>0.27982954545454547</v>
      </c>
      <c r="BE28" s="111">
        <v>2320</v>
      </c>
      <c r="BF28" s="111">
        <v>875</v>
      </c>
      <c r="BG28" s="152">
        <f t="shared" si="0"/>
        <v>0.37715517241379309</v>
      </c>
      <c r="BH28" s="153">
        <f t="shared" si="32"/>
        <v>4432</v>
      </c>
      <c r="BI28" s="153">
        <f t="shared" si="33"/>
        <v>1466</v>
      </c>
      <c r="BJ28" s="154">
        <f t="shared" si="34"/>
        <v>0.33077617328519854</v>
      </c>
      <c r="BK28" s="107">
        <v>4527</v>
      </c>
      <c r="BL28" s="107">
        <v>1276</v>
      </c>
      <c r="BM28" s="108">
        <f t="shared" si="87"/>
        <v>0.28186436933951847</v>
      </c>
      <c r="BN28" s="107">
        <v>2137</v>
      </c>
      <c r="BO28" s="107">
        <v>501</v>
      </c>
      <c r="BP28" s="108">
        <f t="shared" si="35"/>
        <v>0.23444080486663546</v>
      </c>
      <c r="BQ28" s="107">
        <v>2390</v>
      </c>
      <c r="BR28" s="107">
        <v>775</v>
      </c>
      <c r="BS28" s="108">
        <f t="shared" si="36"/>
        <v>0.32426778242677823</v>
      </c>
      <c r="BT28" s="113">
        <v>19370</v>
      </c>
      <c r="BU28" s="113">
        <v>4833</v>
      </c>
      <c r="BV28" s="156">
        <f t="shared" si="37"/>
        <v>0.24950955085183274</v>
      </c>
      <c r="BW28" s="156">
        <f t="shared" si="38"/>
        <v>1</v>
      </c>
      <c r="BX28" s="113">
        <v>17624</v>
      </c>
      <c r="BY28" s="113">
        <v>4674</v>
      </c>
      <c r="BZ28" s="156">
        <f t="shared" si="39"/>
        <v>0.26520653654108034</v>
      </c>
      <c r="CA28" s="156">
        <f t="shared" si="40"/>
        <v>0.96710117939168216</v>
      </c>
      <c r="CB28" s="113">
        <v>141</v>
      </c>
      <c r="CC28" s="113">
        <v>12</v>
      </c>
      <c r="CD28" s="156">
        <f t="shared" si="41"/>
        <v>8.5106382978723402E-2</v>
      </c>
      <c r="CE28" s="156">
        <f t="shared" si="88"/>
        <v>2.4829298572315332E-3</v>
      </c>
      <c r="CF28" s="113">
        <v>90</v>
      </c>
      <c r="CG28" s="113">
        <v>19</v>
      </c>
      <c r="CH28" s="156">
        <f t="shared" si="42"/>
        <v>0.21111111111111111</v>
      </c>
      <c r="CI28" s="156">
        <f t="shared" si="43"/>
        <v>3.9313056072832605E-3</v>
      </c>
      <c r="CJ28" s="113">
        <v>160</v>
      </c>
      <c r="CK28" s="113">
        <v>16</v>
      </c>
      <c r="CL28" s="161">
        <f t="shared" si="44"/>
        <v>0.1</v>
      </c>
      <c r="CM28" s="156">
        <f t="shared" si="45"/>
        <v>3.3105731429753774E-3</v>
      </c>
      <c r="CN28" s="113">
        <v>8</v>
      </c>
      <c r="CO28" s="113">
        <v>1</v>
      </c>
      <c r="CP28" s="161">
        <f t="shared" si="46"/>
        <v>0.125</v>
      </c>
      <c r="CQ28" s="156">
        <f t="shared" si="47"/>
        <v>2.0691082143596109E-4</v>
      </c>
      <c r="CR28" s="105">
        <v>356</v>
      </c>
      <c r="CS28" s="105">
        <v>12</v>
      </c>
      <c r="CT28" s="106">
        <f t="shared" si="48"/>
        <v>3.3707865168539325E-2</v>
      </c>
      <c r="CU28" s="106">
        <f t="shared" si="49"/>
        <v>2.4829298572315332E-3</v>
      </c>
      <c r="CV28" s="113">
        <v>208</v>
      </c>
      <c r="CW28" s="113">
        <v>28</v>
      </c>
      <c r="CX28" s="156">
        <f t="shared" si="50"/>
        <v>0.13461538461538461</v>
      </c>
      <c r="CY28" s="156">
        <f t="shared" si="51"/>
        <v>5.7935030002069111E-3</v>
      </c>
      <c r="CZ28" s="113">
        <v>1139</v>
      </c>
      <c r="DA28" s="113">
        <v>83</v>
      </c>
      <c r="DB28" s="156">
        <f t="shared" si="52"/>
        <v>7.2870939420544331E-2</v>
      </c>
      <c r="DC28" s="156">
        <f t="shared" si="89"/>
        <v>1.7173598179184773E-2</v>
      </c>
      <c r="DD28" s="107">
        <v>2137</v>
      </c>
      <c r="DE28" s="107">
        <v>165</v>
      </c>
      <c r="DF28" s="107">
        <v>956</v>
      </c>
      <c r="DG28" s="107">
        <v>498</v>
      </c>
      <c r="DH28" s="107">
        <v>518</v>
      </c>
      <c r="DI28" s="149">
        <f t="shared" si="53"/>
        <v>7.7211043518951805E-2</v>
      </c>
      <c r="DJ28" s="149">
        <f t="shared" si="54"/>
        <v>0.44735610669162379</v>
      </c>
      <c r="DK28" s="149">
        <f t="shared" si="55"/>
        <v>0.47543284978942441</v>
      </c>
      <c r="DL28" s="107">
        <v>2390</v>
      </c>
      <c r="DM28" s="107">
        <v>164</v>
      </c>
      <c r="DN28" s="107">
        <v>977</v>
      </c>
      <c r="DO28" s="107">
        <v>739</v>
      </c>
      <c r="DP28" s="107">
        <v>510</v>
      </c>
      <c r="DQ28" s="149">
        <f t="shared" si="56"/>
        <v>6.8619246861924679E-2</v>
      </c>
      <c r="DR28" s="149">
        <f t="shared" si="57"/>
        <v>0.40878661087866108</v>
      </c>
      <c r="DS28" s="149">
        <f t="shared" si="58"/>
        <v>0.52259414225941425</v>
      </c>
      <c r="DT28" s="107">
        <f t="shared" si="59"/>
        <v>4527</v>
      </c>
      <c r="DU28" s="107">
        <f t="shared" si="60"/>
        <v>329</v>
      </c>
      <c r="DV28" s="107">
        <f t="shared" si="61"/>
        <v>1933</v>
      </c>
      <c r="DW28" s="107">
        <f t="shared" si="62"/>
        <v>1237</v>
      </c>
      <c r="DX28" s="107">
        <f t="shared" si="63"/>
        <v>1028</v>
      </c>
      <c r="DY28" s="108">
        <f t="shared" si="64"/>
        <v>7.2675060746631326E-2</v>
      </c>
      <c r="DZ28" s="108">
        <f t="shared" si="65"/>
        <v>0.42699359399160591</v>
      </c>
      <c r="EA28" s="108">
        <f t="shared" si="66"/>
        <v>0.50033134526176271</v>
      </c>
      <c r="EB28" s="107">
        <v>2895</v>
      </c>
      <c r="EC28" s="110">
        <v>235</v>
      </c>
      <c r="ED28" s="108">
        <f t="shared" si="67"/>
        <v>8.1174438687392061E-2</v>
      </c>
      <c r="EE28" s="107">
        <v>624</v>
      </c>
      <c r="EF28" s="108">
        <f t="shared" si="67"/>
        <v>0.21554404145077721</v>
      </c>
      <c r="EG28" s="107">
        <v>1050</v>
      </c>
      <c r="EH28" s="108">
        <f t="shared" ref="EH28" si="244">EG28/$EB28</f>
        <v>0.36269430051813473</v>
      </c>
      <c r="EI28" s="107">
        <v>1415</v>
      </c>
      <c r="EJ28" s="108">
        <f t="shared" ref="EJ28" si="245">EI28/$EB28</f>
        <v>0.48877374784110533</v>
      </c>
      <c r="EK28" s="107">
        <v>1948</v>
      </c>
      <c r="EL28" s="108">
        <f t="shared" ref="EL28" si="246">EK28/$EB28</f>
        <v>0.67288428324697758</v>
      </c>
      <c r="EM28" s="107">
        <v>2237</v>
      </c>
      <c r="EN28" s="108">
        <f t="shared" ref="EN28" si="247">EM28/$EB28</f>
        <v>0.77271157167530224</v>
      </c>
      <c r="EO28" s="163">
        <v>68196</v>
      </c>
      <c r="EP28" s="163">
        <v>62500</v>
      </c>
      <c r="EQ28" s="163">
        <v>80735</v>
      </c>
      <c r="ER28" s="163">
        <v>85196</v>
      </c>
      <c r="ES28" s="163">
        <v>51563</v>
      </c>
      <c r="ET28" s="107">
        <v>2112</v>
      </c>
      <c r="EU28" s="107">
        <v>138</v>
      </c>
      <c r="EV28" s="108">
        <f t="shared" si="72"/>
        <v>6.5340909090909088E-2</v>
      </c>
      <c r="EW28" s="107">
        <v>2320</v>
      </c>
      <c r="EX28" s="107">
        <v>362</v>
      </c>
      <c r="EY28" s="108">
        <f t="shared" si="73"/>
        <v>0.1560344827586207</v>
      </c>
      <c r="EZ28" s="107">
        <f t="shared" si="74"/>
        <v>4432</v>
      </c>
      <c r="FA28" s="107">
        <f t="shared" si="75"/>
        <v>500</v>
      </c>
      <c r="FB28" s="108">
        <f t="shared" si="76"/>
        <v>0.11281588447653429</v>
      </c>
      <c r="FC28" s="107">
        <v>4432</v>
      </c>
      <c r="FD28" s="107">
        <v>500</v>
      </c>
      <c r="FE28" s="108">
        <f t="shared" si="77"/>
        <v>0.11281588447653429</v>
      </c>
      <c r="FF28" s="107">
        <v>976</v>
      </c>
      <c r="FG28" s="108">
        <f t="shared" si="77"/>
        <v>0.22021660649819494</v>
      </c>
      <c r="FH28" s="107">
        <v>1234</v>
      </c>
      <c r="FI28" s="108">
        <f t="shared" ref="FI28" si="248">FH28/$FC28</f>
        <v>0.27842960288808666</v>
      </c>
      <c r="FJ28" s="107">
        <v>1413</v>
      </c>
      <c r="FK28" s="108">
        <f t="shared" ref="FK28" si="249">FJ28/$FC28</f>
        <v>0.3188176895306859</v>
      </c>
      <c r="FL28" s="107">
        <v>2092</v>
      </c>
      <c r="FM28" s="108">
        <f t="shared" ref="FM28" si="250">FL28/$FC28</f>
        <v>0.47202166064981949</v>
      </c>
      <c r="FN28" s="107">
        <v>356</v>
      </c>
      <c r="FO28" s="108">
        <v>0.26350851221317545</v>
      </c>
      <c r="FP28" s="107">
        <v>27</v>
      </c>
      <c r="FQ28" s="108">
        <v>1.9985196150999258E-2</v>
      </c>
      <c r="FR28" s="107">
        <v>77</v>
      </c>
      <c r="FS28" s="108">
        <v>9.796437659033079E-2</v>
      </c>
      <c r="FT28" s="110">
        <v>0</v>
      </c>
      <c r="FU28" s="108">
        <v>0</v>
      </c>
      <c r="FV28" s="107">
        <v>420</v>
      </c>
      <c r="FW28" s="108">
        <v>0.31722054380664655</v>
      </c>
      <c r="FX28" s="107">
        <v>9</v>
      </c>
      <c r="FY28" s="108">
        <v>6.7975830815709968E-3</v>
      </c>
      <c r="FZ28" s="107">
        <v>38</v>
      </c>
      <c r="GA28" s="108">
        <v>3.5647279549718573E-2</v>
      </c>
      <c r="GB28" s="107">
        <v>0</v>
      </c>
      <c r="GC28" s="108">
        <v>0</v>
      </c>
      <c r="GD28" s="107">
        <v>891</v>
      </c>
      <c r="GE28" s="117">
        <v>0.19681908548707752</v>
      </c>
      <c r="GF28" s="107">
        <v>36</v>
      </c>
      <c r="GG28" s="117">
        <v>7.9522862823061622E-3</v>
      </c>
      <c r="GH28" s="107">
        <v>2895</v>
      </c>
      <c r="GI28" s="107">
        <v>559</v>
      </c>
      <c r="GJ28" s="108">
        <f t="shared" si="81"/>
        <v>0.19309153713298791</v>
      </c>
      <c r="GK28" s="107">
        <v>148</v>
      </c>
      <c r="GL28" s="108">
        <f t="shared" si="82"/>
        <v>0.26475849731663686</v>
      </c>
      <c r="GM28" s="107">
        <v>307</v>
      </c>
      <c r="GN28" s="108">
        <f t="shared" si="83"/>
        <v>0.54919499105545622</v>
      </c>
      <c r="GO28" s="107">
        <v>2336</v>
      </c>
      <c r="GP28" s="108">
        <f t="shared" si="84"/>
        <v>0.80690846286701212</v>
      </c>
      <c r="GQ28" s="107">
        <v>1732</v>
      </c>
      <c r="GR28" s="108">
        <f t="shared" si="85"/>
        <v>0.74143835616438358</v>
      </c>
      <c r="GS28" s="107">
        <v>592</v>
      </c>
      <c r="GT28" s="108">
        <f t="shared" si="86"/>
        <v>0.25342465753424659</v>
      </c>
    </row>
    <row r="29" spans="1:202" x14ac:dyDescent="0.25">
      <c r="A29" s="104" t="s">
        <v>201</v>
      </c>
      <c r="B29" s="143">
        <v>23867</v>
      </c>
      <c r="C29" s="143">
        <v>6872</v>
      </c>
      <c r="D29" s="143">
        <v>4889</v>
      </c>
      <c r="E29" s="143">
        <v>1779</v>
      </c>
      <c r="F29" s="143">
        <v>475</v>
      </c>
      <c r="G29" s="144">
        <f t="shared" si="2"/>
        <v>0.28792893953995058</v>
      </c>
      <c r="H29" s="144">
        <f t="shared" si="3"/>
        <v>0.20484350777223781</v>
      </c>
      <c r="I29" s="144">
        <f t="shared" si="4"/>
        <v>7.4538065110822477E-2</v>
      </c>
      <c r="J29" s="144">
        <f t="shared" si="5"/>
        <v>1.9901956676582729E-2</v>
      </c>
      <c r="K29" s="143">
        <v>2412</v>
      </c>
      <c r="L29" s="145">
        <f t="shared" si="6"/>
        <v>0.49335242380854982</v>
      </c>
      <c r="M29" s="143">
        <v>2477</v>
      </c>
      <c r="N29" s="145">
        <f t="shared" si="7"/>
        <v>0.50664757619145018</v>
      </c>
      <c r="O29" s="148">
        <v>44</v>
      </c>
      <c r="P29" s="107">
        <v>10118</v>
      </c>
      <c r="Q29" s="107">
        <v>4698</v>
      </c>
      <c r="R29" s="108">
        <f t="shared" si="8"/>
        <v>0.46432101205771892</v>
      </c>
      <c r="S29" s="107">
        <v>3451</v>
      </c>
      <c r="T29" s="149">
        <f t="shared" si="9"/>
        <v>0.34107531132634911</v>
      </c>
      <c r="U29" s="143">
        <v>2412</v>
      </c>
      <c r="V29" s="107">
        <v>195</v>
      </c>
      <c r="W29" s="108">
        <f t="shared" si="10"/>
        <v>8.0845771144278614E-2</v>
      </c>
      <c r="X29" s="107">
        <v>1649</v>
      </c>
      <c r="Y29" s="150">
        <f t="shared" si="11"/>
        <v>0.68366500829187393</v>
      </c>
      <c r="Z29" s="107">
        <v>74</v>
      </c>
      <c r="AA29" s="108">
        <f t="shared" si="12"/>
        <v>3.0679933665008291E-2</v>
      </c>
      <c r="AB29" s="107">
        <v>215</v>
      </c>
      <c r="AC29" s="108">
        <f t="shared" si="13"/>
        <v>8.9137645107794358E-2</v>
      </c>
      <c r="AD29" s="107">
        <v>279</v>
      </c>
      <c r="AE29" s="108">
        <f t="shared" si="14"/>
        <v>0.11567164179104478</v>
      </c>
      <c r="AF29" s="107">
        <v>2477</v>
      </c>
      <c r="AG29" s="107">
        <v>122</v>
      </c>
      <c r="AH29" s="108">
        <f t="shared" si="15"/>
        <v>4.9253128784820348E-2</v>
      </c>
      <c r="AI29" s="107">
        <v>1223</v>
      </c>
      <c r="AJ29" s="108">
        <f t="shared" si="16"/>
        <v>0.4937424303593056</v>
      </c>
      <c r="AK29" s="107">
        <v>35</v>
      </c>
      <c r="AL29" s="108">
        <f t="shared" si="17"/>
        <v>1.4129995962858296E-2</v>
      </c>
      <c r="AM29" s="107">
        <v>694</v>
      </c>
      <c r="AN29" s="108">
        <f t="shared" si="18"/>
        <v>0.28017763423496167</v>
      </c>
      <c r="AO29" s="107">
        <v>403</v>
      </c>
      <c r="AP29" s="108">
        <f t="shared" si="19"/>
        <v>0.16269681065805411</v>
      </c>
      <c r="AQ29" s="107">
        <f t="shared" si="20"/>
        <v>4889</v>
      </c>
      <c r="AR29" s="107">
        <f t="shared" si="21"/>
        <v>317</v>
      </c>
      <c r="AS29" s="108">
        <f t="shared" si="22"/>
        <v>6.4839435467375736E-2</v>
      </c>
      <c r="AT29" s="107">
        <f t="shared" si="23"/>
        <v>2872</v>
      </c>
      <c r="AU29" s="108">
        <f t="shared" si="24"/>
        <v>0.58744119451830645</v>
      </c>
      <c r="AV29" s="107">
        <f t="shared" si="25"/>
        <v>109</v>
      </c>
      <c r="AW29" s="108">
        <f t="shared" si="26"/>
        <v>2.2294947842094497E-2</v>
      </c>
      <c r="AX29" s="107">
        <f t="shared" si="27"/>
        <v>909</v>
      </c>
      <c r="AY29" s="108">
        <f t="shared" si="28"/>
        <v>0.18592759255471467</v>
      </c>
      <c r="AZ29" s="107">
        <f t="shared" si="29"/>
        <v>682</v>
      </c>
      <c r="BA29" s="108">
        <f t="shared" si="30"/>
        <v>0.1394968296175087</v>
      </c>
      <c r="BB29" s="111">
        <v>2383</v>
      </c>
      <c r="BC29" s="111">
        <v>601</v>
      </c>
      <c r="BD29" s="152">
        <f t="shared" si="31"/>
        <v>0.2522031053294167</v>
      </c>
      <c r="BE29" s="111">
        <v>2408</v>
      </c>
      <c r="BF29" s="111">
        <v>623</v>
      </c>
      <c r="BG29" s="152">
        <f t="shared" si="0"/>
        <v>0.25872093023255816</v>
      </c>
      <c r="BH29" s="153">
        <f t="shared" si="32"/>
        <v>4791</v>
      </c>
      <c r="BI29" s="153">
        <f t="shared" si="33"/>
        <v>1224</v>
      </c>
      <c r="BJ29" s="154">
        <f t="shared" si="34"/>
        <v>0.25547902316844084</v>
      </c>
      <c r="BK29" s="107">
        <v>4889</v>
      </c>
      <c r="BL29" s="107">
        <v>1440</v>
      </c>
      <c r="BM29" s="108">
        <f t="shared" si="87"/>
        <v>0.29453876048271632</v>
      </c>
      <c r="BN29" s="107">
        <v>2412</v>
      </c>
      <c r="BO29" s="107">
        <v>537</v>
      </c>
      <c r="BP29" s="108">
        <f t="shared" si="35"/>
        <v>0.22263681592039802</v>
      </c>
      <c r="BQ29" s="107">
        <v>2477</v>
      </c>
      <c r="BR29" s="107">
        <v>903</v>
      </c>
      <c r="BS29" s="108">
        <f t="shared" si="36"/>
        <v>0.36455389584174402</v>
      </c>
      <c r="BT29" s="113">
        <v>23963</v>
      </c>
      <c r="BU29" s="113">
        <v>5336</v>
      </c>
      <c r="BV29" s="156">
        <f t="shared" si="37"/>
        <v>0.22267662646580144</v>
      </c>
      <c r="BW29" s="156">
        <f t="shared" si="38"/>
        <v>1</v>
      </c>
      <c r="BX29" s="113">
        <v>22468</v>
      </c>
      <c r="BY29" s="113">
        <v>5214</v>
      </c>
      <c r="BZ29" s="156">
        <f t="shared" si="39"/>
        <v>0.23206337902795085</v>
      </c>
      <c r="CA29" s="156">
        <f t="shared" si="40"/>
        <v>0.97713643178410792</v>
      </c>
      <c r="CB29" s="113">
        <v>235</v>
      </c>
      <c r="CC29" s="113">
        <v>15</v>
      </c>
      <c r="CD29" s="156">
        <f t="shared" si="41"/>
        <v>6.3829787234042548E-2</v>
      </c>
      <c r="CE29" s="156">
        <f t="shared" si="88"/>
        <v>2.8110944527736134E-3</v>
      </c>
      <c r="CF29" s="113">
        <v>57</v>
      </c>
      <c r="CG29" s="113">
        <v>11</v>
      </c>
      <c r="CH29" s="156">
        <f t="shared" si="42"/>
        <v>0.19298245614035087</v>
      </c>
      <c r="CI29" s="156">
        <f t="shared" si="43"/>
        <v>2.0614692653673165E-3</v>
      </c>
      <c r="CJ29" s="113">
        <v>199</v>
      </c>
      <c r="CK29" s="113">
        <v>37</v>
      </c>
      <c r="CL29" s="161">
        <f t="shared" si="44"/>
        <v>0.18592964824120603</v>
      </c>
      <c r="CM29" s="156">
        <f t="shared" si="45"/>
        <v>6.9340329835082459E-3</v>
      </c>
      <c r="CN29" s="113">
        <v>11</v>
      </c>
      <c r="CO29" s="113">
        <v>1</v>
      </c>
      <c r="CP29" s="161">
        <f t="shared" si="46"/>
        <v>9.0909090909090912E-2</v>
      </c>
      <c r="CQ29" s="156">
        <f t="shared" si="47"/>
        <v>1.8740629685157421E-4</v>
      </c>
      <c r="CR29" s="105">
        <v>176</v>
      </c>
      <c r="CS29" s="105">
        <v>0</v>
      </c>
      <c r="CT29" s="106">
        <f t="shared" si="48"/>
        <v>0</v>
      </c>
      <c r="CU29" s="106">
        <f t="shared" si="49"/>
        <v>0</v>
      </c>
      <c r="CV29" s="113">
        <v>378</v>
      </c>
      <c r="CW29" s="113">
        <v>29</v>
      </c>
      <c r="CX29" s="156">
        <f t="shared" si="50"/>
        <v>7.6719576719576715E-2</v>
      </c>
      <c r="CY29" s="156">
        <f t="shared" si="51"/>
        <v>5.434782608695652E-3</v>
      </c>
      <c r="CZ29" s="113">
        <v>615</v>
      </c>
      <c r="DA29" s="113">
        <v>29</v>
      </c>
      <c r="DB29" s="156">
        <f t="shared" si="52"/>
        <v>4.715447154471545E-2</v>
      </c>
      <c r="DC29" s="156">
        <f t="shared" si="89"/>
        <v>5.434782608695652E-3</v>
      </c>
      <c r="DD29" s="107">
        <v>2412</v>
      </c>
      <c r="DE29" s="107">
        <v>130</v>
      </c>
      <c r="DF29" s="107">
        <v>880</v>
      </c>
      <c r="DG29" s="107">
        <v>709</v>
      </c>
      <c r="DH29" s="107">
        <v>693</v>
      </c>
      <c r="DI29" s="149">
        <f t="shared" si="53"/>
        <v>5.3897180762852402E-2</v>
      </c>
      <c r="DJ29" s="149">
        <f t="shared" si="54"/>
        <v>0.36484245439469321</v>
      </c>
      <c r="DK29" s="149">
        <f t="shared" si="55"/>
        <v>0.58126036484245436</v>
      </c>
      <c r="DL29" s="107">
        <v>2477</v>
      </c>
      <c r="DM29" s="107">
        <v>148</v>
      </c>
      <c r="DN29" s="107">
        <v>1058</v>
      </c>
      <c r="DO29" s="107">
        <v>615</v>
      </c>
      <c r="DP29" s="107">
        <v>656</v>
      </c>
      <c r="DQ29" s="149">
        <f t="shared" si="56"/>
        <v>5.9749697214372226E-2</v>
      </c>
      <c r="DR29" s="149">
        <f t="shared" si="57"/>
        <v>0.42712959224868791</v>
      </c>
      <c r="DS29" s="149">
        <f t="shared" si="58"/>
        <v>0.51312071053693986</v>
      </c>
      <c r="DT29" s="107">
        <f t="shared" si="59"/>
        <v>4889</v>
      </c>
      <c r="DU29" s="107">
        <f t="shared" si="60"/>
        <v>278</v>
      </c>
      <c r="DV29" s="107">
        <f t="shared" si="61"/>
        <v>1938</v>
      </c>
      <c r="DW29" s="107">
        <f t="shared" si="62"/>
        <v>1324</v>
      </c>
      <c r="DX29" s="107">
        <f t="shared" si="63"/>
        <v>1349</v>
      </c>
      <c r="DY29" s="108">
        <f t="shared" si="64"/>
        <v>5.6862344037635508E-2</v>
      </c>
      <c r="DZ29" s="108">
        <f t="shared" si="65"/>
        <v>0.39640008181632236</v>
      </c>
      <c r="EA29" s="108">
        <f t="shared" si="66"/>
        <v>0.54673757414604218</v>
      </c>
      <c r="EB29" s="107">
        <v>3199</v>
      </c>
      <c r="EC29" s="110">
        <v>435</v>
      </c>
      <c r="ED29" s="108">
        <f t="shared" si="67"/>
        <v>0.13597999374804626</v>
      </c>
      <c r="EE29" s="107">
        <v>665</v>
      </c>
      <c r="EF29" s="108">
        <f t="shared" si="67"/>
        <v>0.20787746170678337</v>
      </c>
      <c r="EG29" s="107">
        <v>993</v>
      </c>
      <c r="EH29" s="108">
        <f t="shared" ref="EH29" si="251">EG29/$EB29</f>
        <v>0.31040950296967801</v>
      </c>
      <c r="EI29" s="107">
        <v>1464</v>
      </c>
      <c r="EJ29" s="108">
        <f t="shared" ref="EJ29" si="252">EI29/$EB29</f>
        <v>0.45764301344170055</v>
      </c>
      <c r="EK29" s="107">
        <v>2033</v>
      </c>
      <c r="EL29" s="108">
        <f t="shared" ref="EL29" si="253">EK29/$EB29</f>
        <v>0.63551109721788057</v>
      </c>
      <c r="EM29" s="107">
        <v>2450</v>
      </c>
      <c r="EN29" s="108">
        <f t="shared" ref="EN29" si="254">EM29/$EB29</f>
        <v>0.76586433260393871</v>
      </c>
      <c r="EO29" s="163">
        <v>82182</v>
      </c>
      <c r="EP29" s="163">
        <v>56932</v>
      </c>
      <c r="EQ29" s="163">
        <v>93620</v>
      </c>
      <c r="ER29" s="163">
        <v>99201</v>
      </c>
      <c r="ES29" s="163">
        <v>57697</v>
      </c>
      <c r="ET29" s="107">
        <v>2383</v>
      </c>
      <c r="EU29" s="107">
        <v>270</v>
      </c>
      <c r="EV29" s="108">
        <f t="shared" si="72"/>
        <v>0.11330255979857323</v>
      </c>
      <c r="EW29" s="107">
        <v>2408</v>
      </c>
      <c r="EX29" s="107">
        <v>236</v>
      </c>
      <c r="EY29" s="108">
        <f t="shared" si="73"/>
        <v>9.8006644518272429E-2</v>
      </c>
      <c r="EZ29" s="107">
        <f t="shared" si="74"/>
        <v>4791</v>
      </c>
      <c r="FA29" s="107">
        <f t="shared" si="75"/>
        <v>506</v>
      </c>
      <c r="FB29" s="108">
        <f t="shared" si="76"/>
        <v>0.10561469421832603</v>
      </c>
      <c r="FC29" s="107">
        <v>4791</v>
      </c>
      <c r="FD29" s="107">
        <v>506</v>
      </c>
      <c r="FE29" s="108">
        <f t="shared" si="77"/>
        <v>0.10561469421832603</v>
      </c>
      <c r="FF29" s="107">
        <v>832</v>
      </c>
      <c r="FG29" s="108">
        <f t="shared" si="77"/>
        <v>0.17365894385305783</v>
      </c>
      <c r="FH29" s="107">
        <v>1115</v>
      </c>
      <c r="FI29" s="108">
        <f t="shared" ref="FI29" si="255">FH29/$FC29</f>
        <v>0.2327280317261532</v>
      </c>
      <c r="FJ29" s="107">
        <v>1289</v>
      </c>
      <c r="FK29" s="108">
        <f t="shared" ref="FK29" si="256">FJ29/$FC29</f>
        <v>0.269046128156961</v>
      </c>
      <c r="FL29" s="107">
        <v>2002</v>
      </c>
      <c r="FM29" s="108">
        <f t="shared" ref="FM29" si="257">FL29/$FC29</f>
        <v>0.41786683364642035</v>
      </c>
      <c r="FN29" s="107">
        <v>495</v>
      </c>
      <c r="FO29" s="108">
        <v>0.31348955034832171</v>
      </c>
      <c r="FP29" s="107">
        <v>0</v>
      </c>
      <c r="FQ29" s="108">
        <v>0</v>
      </c>
      <c r="FR29" s="107">
        <v>88</v>
      </c>
      <c r="FS29" s="108">
        <v>0.10564225690276111</v>
      </c>
      <c r="FT29" s="110">
        <v>0</v>
      </c>
      <c r="FU29" s="108">
        <v>0</v>
      </c>
      <c r="FV29" s="107">
        <v>439</v>
      </c>
      <c r="FW29" s="108">
        <v>0.28674069235793598</v>
      </c>
      <c r="FX29" s="107">
        <v>3</v>
      </c>
      <c r="FY29" s="108">
        <v>1.9595035924232528E-3</v>
      </c>
      <c r="FZ29" s="107">
        <v>49</v>
      </c>
      <c r="GA29" s="108">
        <v>5.1797040169133189E-2</v>
      </c>
      <c r="GB29" s="107">
        <v>0</v>
      </c>
      <c r="GC29" s="108">
        <v>0</v>
      </c>
      <c r="GD29" s="107">
        <v>1071</v>
      </c>
      <c r="GE29" s="117">
        <v>0.21906320310902025</v>
      </c>
      <c r="GF29" s="107">
        <v>3</v>
      </c>
      <c r="GG29" s="117">
        <v>6.1362241767232563E-4</v>
      </c>
      <c r="GH29" s="107">
        <v>3199</v>
      </c>
      <c r="GI29" s="107">
        <v>512</v>
      </c>
      <c r="GJ29" s="108">
        <f t="shared" si="81"/>
        <v>0.16005001562988433</v>
      </c>
      <c r="GK29" s="107">
        <v>117</v>
      </c>
      <c r="GL29" s="108">
        <f t="shared" si="82"/>
        <v>0.228515625</v>
      </c>
      <c r="GM29" s="107">
        <v>316</v>
      </c>
      <c r="GN29" s="108">
        <f t="shared" si="83"/>
        <v>0.6171875</v>
      </c>
      <c r="GO29" s="107">
        <v>2687</v>
      </c>
      <c r="GP29" s="108">
        <f t="shared" si="84"/>
        <v>0.8399499843701157</v>
      </c>
      <c r="GQ29" s="107">
        <v>1895</v>
      </c>
      <c r="GR29" s="108">
        <f t="shared" si="85"/>
        <v>0.70524748790472647</v>
      </c>
      <c r="GS29" s="107">
        <v>707</v>
      </c>
      <c r="GT29" s="108">
        <f t="shared" si="86"/>
        <v>0.26311871976181617</v>
      </c>
    </row>
    <row r="30" spans="1:202" x14ac:dyDescent="0.25">
      <c r="A30" s="104" t="s">
        <v>202</v>
      </c>
      <c r="B30" s="143">
        <v>6210</v>
      </c>
      <c r="C30" s="143">
        <v>2732</v>
      </c>
      <c r="D30" s="143">
        <v>2051</v>
      </c>
      <c r="E30" s="143">
        <v>866</v>
      </c>
      <c r="F30" s="143">
        <v>184</v>
      </c>
      <c r="G30" s="144">
        <f t="shared" si="2"/>
        <v>0.43993558776167474</v>
      </c>
      <c r="H30" s="144">
        <f t="shared" si="3"/>
        <v>0.33027375201288245</v>
      </c>
      <c r="I30" s="144">
        <f t="shared" si="4"/>
        <v>0.13945249597423509</v>
      </c>
      <c r="J30" s="144">
        <f t="shared" si="5"/>
        <v>2.9629629629629631E-2</v>
      </c>
      <c r="K30" s="143">
        <v>1039</v>
      </c>
      <c r="L30" s="145">
        <f t="shared" si="6"/>
        <v>0.50658215504631887</v>
      </c>
      <c r="M30" s="143">
        <v>1012</v>
      </c>
      <c r="N30" s="145">
        <f t="shared" si="7"/>
        <v>0.49341784495368113</v>
      </c>
      <c r="O30" s="148">
        <v>56.1</v>
      </c>
      <c r="P30" s="107">
        <v>3109</v>
      </c>
      <c r="Q30" s="107">
        <v>1856</v>
      </c>
      <c r="R30" s="108">
        <f t="shared" si="8"/>
        <v>0.59697651978128019</v>
      </c>
      <c r="S30" s="107">
        <v>1431</v>
      </c>
      <c r="T30" s="149">
        <f t="shared" si="9"/>
        <v>0.46027661627532968</v>
      </c>
      <c r="U30" s="143">
        <v>1039</v>
      </c>
      <c r="V30" s="107">
        <v>61</v>
      </c>
      <c r="W30" s="108">
        <f t="shared" si="10"/>
        <v>5.8710298363811357E-2</v>
      </c>
      <c r="X30" s="107">
        <v>735</v>
      </c>
      <c r="Y30" s="150">
        <f t="shared" si="11"/>
        <v>0.70741097208854664</v>
      </c>
      <c r="Z30" s="107">
        <v>32</v>
      </c>
      <c r="AA30" s="108">
        <f t="shared" si="12"/>
        <v>3.0798845043310877E-2</v>
      </c>
      <c r="AB30" s="107">
        <v>65</v>
      </c>
      <c r="AC30" s="108">
        <f t="shared" si="13"/>
        <v>6.2560153994225223E-2</v>
      </c>
      <c r="AD30" s="107">
        <v>146</v>
      </c>
      <c r="AE30" s="108">
        <f t="shared" si="14"/>
        <v>0.14051973051010588</v>
      </c>
      <c r="AF30" s="107">
        <v>1012</v>
      </c>
      <c r="AG30" s="107">
        <v>36</v>
      </c>
      <c r="AH30" s="108">
        <f t="shared" si="15"/>
        <v>3.5573122529644272E-2</v>
      </c>
      <c r="AI30" s="107">
        <v>549</v>
      </c>
      <c r="AJ30" s="108">
        <f t="shared" si="16"/>
        <v>0.54249011857707508</v>
      </c>
      <c r="AK30" s="107">
        <v>6</v>
      </c>
      <c r="AL30" s="108">
        <f t="shared" si="17"/>
        <v>5.9288537549407111E-3</v>
      </c>
      <c r="AM30" s="107">
        <v>311</v>
      </c>
      <c r="AN30" s="108">
        <f t="shared" si="18"/>
        <v>0.30731225296442688</v>
      </c>
      <c r="AO30" s="107">
        <v>110</v>
      </c>
      <c r="AP30" s="108">
        <f t="shared" si="19"/>
        <v>0.10869565217391304</v>
      </c>
      <c r="AQ30" s="107">
        <f t="shared" si="20"/>
        <v>2051</v>
      </c>
      <c r="AR30" s="107">
        <f t="shared" si="21"/>
        <v>97</v>
      </c>
      <c r="AS30" s="108">
        <f t="shared" si="22"/>
        <v>4.7294002925402243E-2</v>
      </c>
      <c r="AT30" s="107">
        <f t="shared" si="23"/>
        <v>1284</v>
      </c>
      <c r="AU30" s="108">
        <f t="shared" si="24"/>
        <v>0.62603607996099464</v>
      </c>
      <c r="AV30" s="107">
        <f t="shared" si="25"/>
        <v>38</v>
      </c>
      <c r="AW30" s="108">
        <f t="shared" si="26"/>
        <v>1.8527547537786446E-2</v>
      </c>
      <c r="AX30" s="107">
        <f t="shared" si="27"/>
        <v>376</v>
      </c>
      <c r="AY30" s="108">
        <f t="shared" si="28"/>
        <v>0.18332520721599219</v>
      </c>
      <c r="AZ30" s="107">
        <f t="shared" si="29"/>
        <v>256</v>
      </c>
      <c r="BA30" s="108">
        <f t="shared" si="30"/>
        <v>0.12481716235982447</v>
      </c>
      <c r="BB30" s="111">
        <v>1016</v>
      </c>
      <c r="BC30" s="111">
        <v>258</v>
      </c>
      <c r="BD30" s="152">
        <f t="shared" si="31"/>
        <v>0.25393700787401574</v>
      </c>
      <c r="BE30" s="111">
        <v>961</v>
      </c>
      <c r="BF30" s="111">
        <v>192</v>
      </c>
      <c r="BG30" s="152">
        <f t="shared" si="0"/>
        <v>0.19979188345473464</v>
      </c>
      <c r="BH30" s="153">
        <f t="shared" si="32"/>
        <v>1977</v>
      </c>
      <c r="BI30" s="153">
        <f t="shared" si="33"/>
        <v>450</v>
      </c>
      <c r="BJ30" s="154">
        <f t="shared" si="34"/>
        <v>0.22761760242792109</v>
      </c>
      <c r="BK30" s="107">
        <v>2051</v>
      </c>
      <c r="BL30" s="107">
        <v>523</v>
      </c>
      <c r="BM30" s="108">
        <f t="shared" si="87"/>
        <v>0.25499756216479769</v>
      </c>
      <c r="BN30" s="107">
        <v>1039</v>
      </c>
      <c r="BO30" s="107">
        <v>242</v>
      </c>
      <c r="BP30" s="108">
        <f t="shared" si="35"/>
        <v>0.23291626564003851</v>
      </c>
      <c r="BQ30" s="107">
        <v>1012</v>
      </c>
      <c r="BR30" s="107">
        <v>281</v>
      </c>
      <c r="BS30" s="108">
        <f t="shared" si="36"/>
        <v>0.27766798418972333</v>
      </c>
      <c r="BT30" s="113">
        <v>6235</v>
      </c>
      <c r="BU30" s="113">
        <v>2149</v>
      </c>
      <c r="BV30" s="156">
        <f t="shared" si="37"/>
        <v>0.34466720128307937</v>
      </c>
      <c r="BW30" s="156">
        <f t="shared" si="38"/>
        <v>1</v>
      </c>
      <c r="BX30" s="113">
        <v>5871</v>
      </c>
      <c r="BY30" s="113">
        <v>2104</v>
      </c>
      <c r="BZ30" s="156">
        <f t="shared" si="39"/>
        <v>0.35837165729858628</v>
      </c>
      <c r="CA30" s="156">
        <f t="shared" si="40"/>
        <v>0.97906002791996283</v>
      </c>
      <c r="CB30" s="113">
        <v>26</v>
      </c>
      <c r="CC30" s="113">
        <v>7</v>
      </c>
      <c r="CD30" s="156">
        <f t="shared" si="41"/>
        <v>0.26923076923076922</v>
      </c>
      <c r="CE30" s="156">
        <f t="shared" si="88"/>
        <v>3.2573289902280132E-3</v>
      </c>
      <c r="CF30" s="113">
        <v>91</v>
      </c>
      <c r="CG30" s="113">
        <v>11</v>
      </c>
      <c r="CH30" s="156">
        <f t="shared" si="42"/>
        <v>0.12087912087912088</v>
      </c>
      <c r="CI30" s="156">
        <f t="shared" si="43"/>
        <v>5.1186598417868774E-3</v>
      </c>
      <c r="CJ30" s="113">
        <v>26</v>
      </c>
      <c r="CK30" s="113">
        <v>3</v>
      </c>
      <c r="CL30" s="161">
        <f t="shared" si="44"/>
        <v>0.11538461538461539</v>
      </c>
      <c r="CM30" s="156">
        <f t="shared" si="45"/>
        <v>1.3959981386691485E-3</v>
      </c>
      <c r="CN30" s="113">
        <v>0</v>
      </c>
      <c r="CO30" s="113">
        <v>0</v>
      </c>
      <c r="CP30" s="161">
        <v>0</v>
      </c>
      <c r="CQ30" s="156">
        <f t="shared" si="47"/>
        <v>0</v>
      </c>
      <c r="CR30" s="105">
        <v>24</v>
      </c>
      <c r="CS30" s="105">
        <v>0</v>
      </c>
      <c r="CT30" s="106">
        <f t="shared" si="48"/>
        <v>0</v>
      </c>
      <c r="CU30" s="106">
        <f t="shared" si="49"/>
        <v>0</v>
      </c>
      <c r="CV30" s="113">
        <v>110</v>
      </c>
      <c r="CW30" s="113">
        <v>18</v>
      </c>
      <c r="CX30" s="156">
        <f t="shared" si="50"/>
        <v>0.16363636363636364</v>
      </c>
      <c r="CY30" s="156">
        <f t="shared" si="51"/>
        <v>8.3759888320148902E-3</v>
      </c>
      <c r="CZ30" s="113">
        <v>111</v>
      </c>
      <c r="DA30" s="113">
        <v>6</v>
      </c>
      <c r="DB30" s="156">
        <f t="shared" si="52"/>
        <v>5.4054054054054057E-2</v>
      </c>
      <c r="DC30" s="156">
        <f t="shared" si="89"/>
        <v>2.791996277338297E-3</v>
      </c>
      <c r="DD30" s="107">
        <v>1039</v>
      </c>
      <c r="DE30" s="107">
        <v>60</v>
      </c>
      <c r="DF30" s="107">
        <v>335</v>
      </c>
      <c r="DG30" s="107">
        <v>368</v>
      </c>
      <c r="DH30" s="107">
        <v>276</v>
      </c>
      <c r="DI30" s="149">
        <f t="shared" si="53"/>
        <v>5.7747834456207889E-2</v>
      </c>
      <c r="DJ30" s="149">
        <f t="shared" si="54"/>
        <v>0.32242540904716072</v>
      </c>
      <c r="DK30" s="149">
        <f t="shared" si="55"/>
        <v>0.61982675649663133</v>
      </c>
      <c r="DL30" s="107">
        <v>1012</v>
      </c>
      <c r="DM30" s="107">
        <v>60</v>
      </c>
      <c r="DN30" s="107">
        <v>383</v>
      </c>
      <c r="DO30" s="107">
        <v>318</v>
      </c>
      <c r="DP30" s="107">
        <v>251</v>
      </c>
      <c r="DQ30" s="149">
        <f t="shared" si="56"/>
        <v>5.9288537549407112E-2</v>
      </c>
      <c r="DR30" s="149">
        <f t="shared" si="57"/>
        <v>0.3784584980237154</v>
      </c>
      <c r="DS30" s="149">
        <f t="shared" si="58"/>
        <v>0.56225296442687744</v>
      </c>
      <c r="DT30" s="107">
        <f t="shared" si="59"/>
        <v>2051</v>
      </c>
      <c r="DU30" s="107">
        <f t="shared" si="60"/>
        <v>120</v>
      </c>
      <c r="DV30" s="107">
        <f t="shared" si="61"/>
        <v>718</v>
      </c>
      <c r="DW30" s="107">
        <f t="shared" si="62"/>
        <v>686</v>
      </c>
      <c r="DX30" s="107">
        <f t="shared" si="63"/>
        <v>527</v>
      </c>
      <c r="DY30" s="108">
        <f t="shared" si="64"/>
        <v>5.8508044856167722E-2</v>
      </c>
      <c r="DZ30" s="108">
        <f t="shared" si="65"/>
        <v>0.35007313505607018</v>
      </c>
      <c r="EA30" s="108">
        <f t="shared" si="66"/>
        <v>0.59141882008776203</v>
      </c>
      <c r="EB30" s="107">
        <v>1299</v>
      </c>
      <c r="EC30" s="110">
        <v>111</v>
      </c>
      <c r="ED30" s="108">
        <f t="shared" si="67"/>
        <v>8.5450346420323328E-2</v>
      </c>
      <c r="EE30" s="107">
        <v>266</v>
      </c>
      <c r="EF30" s="108">
        <f t="shared" si="67"/>
        <v>0.20477290223248654</v>
      </c>
      <c r="EG30" s="107">
        <v>479</v>
      </c>
      <c r="EH30" s="108">
        <f t="shared" ref="EH30" si="258">EG30/$EB30</f>
        <v>0.36874518860662048</v>
      </c>
      <c r="EI30" s="107">
        <v>646</v>
      </c>
      <c r="EJ30" s="108">
        <f t="shared" ref="EJ30" si="259">EI30/$EB30</f>
        <v>0.49730561970746728</v>
      </c>
      <c r="EK30" s="107">
        <v>894</v>
      </c>
      <c r="EL30" s="108">
        <f t="shared" ref="EL30" si="260">EK30/$EB30</f>
        <v>0.68822170900692836</v>
      </c>
      <c r="EM30" s="107">
        <v>1038</v>
      </c>
      <c r="EN30" s="108">
        <f t="shared" ref="EN30" si="261">EM30/$EB30</f>
        <v>0.79907621247113159</v>
      </c>
      <c r="EO30" s="163">
        <v>60625</v>
      </c>
      <c r="EP30" s="163" t="s">
        <v>328</v>
      </c>
      <c r="EQ30" s="163">
        <v>68966</v>
      </c>
      <c r="ER30" s="163">
        <v>64167</v>
      </c>
      <c r="ES30" s="163">
        <v>50729</v>
      </c>
      <c r="ET30" s="107">
        <v>1016</v>
      </c>
      <c r="EU30" s="107">
        <v>68</v>
      </c>
      <c r="EV30" s="108">
        <f t="shared" si="72"/>
        <v>6.6929133858267723E-2</v>
      </c>
      <c r="EW30" s="107">
        <v>961</v>
      </c>
      <c r="EX30" s="107">
        <v>100</v>
      </c>
      <c r="EY30" s="108">
        <f t="shared" si="73"/>
        <v>0.1040582726326743</v>
      </c>
      <c r="EZ30" s="107">
        <f t="shared" si="74"/>
        <v>1977</v>
      </c>
      <c r="FA30" s="107">
        <f t="shared" si="75"/>
        <v>168</v>
      </c>
      <c r="FB30" s="108">
        <f t="shared" si="76"/>
        <v>8.4977238239757211E-2</v>
      </c>
      <c r="FC30" s="107">
        <v>1977</v>
      </c>
      <c r="FD30" s="107">
        <v>168</v>
      </c>
      <c r="FE30" s="108">
        <f t="shared" si="77"/>
        <v>8.4977238239757211E-2</v>
      </c>
      <c r="FF30" s="107">
        <v>360</v>
      </c>
      <c r="FG30" s="108">
        <f t="shared" si="77"/>
        <v>0.18209408194233687</v>
      </c>
      <c r="FH30" s="107">
        <v>477</v>
      </c>
      <c r="FI30" s="108">
        <f t="shared" ref="FI30" si="262">FH30/$FC30</f>
        <v>0.24127465857359637</v>
      </c>
      <c r="FJ30" s="107">
        <v>610</v>
      </c>
      <c r="FK30" s="108">
        <f t="shared" ref="FK30" si="263">FJ30/$FC30</f>
        <v>0.30854830551340418</v>
      </c>
      <c r="FL30" s="107">
        <v>927</v>
      </c>
      <c r="FM30" s="108">
        <f t="shared" ref="FM30" si="264">FL30/$FC30</f>
        <v>0.46889226100151743</v>
      </c>
      <c r="FN30" s="107">
        <v>129</v>
      </c>
      <c r="FO30" s="108">
        <v>0.20443740095087162</v>
      </c>
      <c r="FP30" s="107">
        <v>0</v>
      </c>
      <c r="FQ30" s="108">
        <v>0</v>
      </c>
      <c r="FR30" s="107">
        <v>19</v>
      </c>
      <c r="FS30" s="108">
        <v>4.6568627450980393E-2</v>
      </c>
      <c r="FT30" s="110">
        <v>0</v>
      </c>
      <c r="FU30" s="108">
        <v>0</v>
      </c>
      <c r="FV30" s="107">
        <v>118</v>
      </c>
      <c r="FW30" s="108">
        <v>0.21299638989169675</v>
      </c>
      <c r="FX30" s="107">
        <v>5</v>
      </c>
      <c r="FY30" s="108">
        <v>9.0252707581227436E-3</v>
      </c>
      <c r="FZ30" s="107">
        <v>34</v>
      </c>
      <c r="GA30" s="108">
        <v>7.4235807860262015E-2</v>
      </c>
      <c r="GB30" s="107">
        <v>0</v>
      </c>
      <c r="GC30" s="108">
        <v>0</v>
      </c>
      <c r="GD30" s="107">
        <v>300</v>
      </c>
      <c r="GE30" s="117">
        <v>0.14627011214041929</v>
      </c>
      <c r="GF30" s="107">
        <v>5</v>
      </c>
      <c r="GG30" s="117">
        <v>2.4378352023403218E-3</v>
      </c>
      <c r="GH30" s="107">
        <v>1299</v>
      </c>
      <c r="GI30" s="107">
        <v>134</v>
      </c>
      <c r="GJ30" s="108">
        <f t="shared" si="81"/>
        <v>0.1031562740569669</v>
      </c>
      <c r="GK30" s="107">
        <v>44</v>
      </c>
      <c r="GL30" s="108">
        <f t="shared" si="82"/>
        <v>0.32835820895522388</v>
      </c>
      <c r="GM30" s="107">
        <v>68</v>
      </c>
      <c r="GN30" s="108">
        <f t="shared" si="83"/>
        <v>0.5074626865671642</v>
      </c>
      <c r="GO30" s="107">
        <v>1165</v>
      </c>
      <c r="GP30" s="108">
        <f t="shared" si="84"/>
        <v>0.89684372594303308</v>
      </c>
      <c r="GQ30" s="107">
        <v>934</v>
      </c>
      <c r="GR30" s="108">
        <f t="shared" si="85"/>
        <v>0.80171673819742484</v>
      </c>
      <c r="GS30" s="107">
        <v>228</v>
      </c>
      <c r="GT30" s="108">
        <f t="shared" si="86"/>
        <v>0.19570815450643778</v>
      </c>
    </row>
    <row r="31" spans="1:202" x14ac:dyDescent="0.25">
      <c r="A31" s="104" t="s">
        <v>203</v>
      </c>
      <c r="B31" s="143">
        <v>20981</v>
      </c>
      <c r="C31" s="143">
        <v>6017</v>
      </c>
      <c r="D31" s="143">
        <v>4292</v>
      </c>
      <c r="E31" s="143">
        <v>1752</v>
      </c>
      <c r="F31" s="143">
        <v>457</v>
      </c>
      <c r="G31" s="144">
        <f t="shared" si="2"/>
        <v>0.28678328011057624</v>
      </c>
      <c r="H31" s="144">
        <f t="shared" si="3"/>
        <v>0.2045660359372766</v>
      </c>
      <c r="I31" s="144">
        <f t="shared" si="4"/>
        <v>8.3504122777751294E-2</v>
      </c>
      <c r="J31" s="144">
        <f t="shared" si="5"/>
        <v>2.1781611934607502E-2</v>
      </c>
      <c r="K31" s="143">
        <v>2154</v>
      </c>
      <c r="L31" s="145">
        <f t="shared" si="6"/>
        <v>0.50186393289841569</v>
      </c>
      <c r="M31" s="143">
        <v>2138</v>
      </c>
      <c r="N31" s="145">
        <f t="shared" si="7"/>
        <v>0.49813606710158437</v>
      </c>
      <c r="O31" s="148">
        <v>43.4</v>
      </c>
      <c r="P31" s="107">
        <v>8274</v>
      </c>
      <c r="Q31" s="107">
        <v>4100</v>
      </c>
      <c r="R31" s="108">
        <f t="shared" si="8"/>
        <v>0.49552816050277981</v>
      </c>
      <c r="S31" s="107">
        <v>3075</v>
      </c>
      <c r="T31" s="149">
        <f t="shared" si="9"/>
        <v>0.37164612037708483</v>
      </c>
      <c r="U31" s="143">
        <v>2154</v>
      </c>
      <c r="V31" s="107">
        <v>109</v>
      </c>
      <c r="W31" s="108">
        <f t="shared" si="10"/>
        <v>5.0603528319405754E-2</v>
      </c>
      <c r="X31" s="107">
        <v>1447</v>
      </c>
      <c r="Y31" s="150">
        <f t="shared" si="11"/>
        <v>0.67177344475394618</v>
      </c>
      <c r="Z31" s="107">
        <v>26</v>
      </c>
      <c r="AA31" s="108">
        <f t="shared" si="12"/>
        <v>1.2070566388115135E-2</v>
      </c>
      <c r="AB31" s="107">
        <v>211</v>
      </c>
      <c r="AC31" s="108">
        <f t="shared" si="13"/>
        <v>9.7957288765088205E-2</v>
      </c>
      <c r="AD31" s="107">
        <v>361</v>
      </c>
      <c r="AE31" s="108">
        <f t="shared" si="14"/>
        <v>0.16759517177344477</v>
      </c>
      <c r="AF31" s="107">
        <v>2138</v>
      </c>
      <c r="AG31" s="107">
        <v>40</v>
      </c>
      <c r="AH31" s="108">
        <f t="shared" si="15"/>
        <v>1.8709073900841908E-2</v>
      </c>
      <c r="AI31" s="107">
        <v>1050</v>
      </c>
      <c r="AJ31" s="108">
        <f t="shared" si="16"/>
        <v>0.49111318989710007</v>
      </c>
      <c r="AK31" s="107">
        <v>49</v>
      </c>
      <c r="AL31" s="108">
        <f t="shared" si="17"/>
        <v>2.2918615528531337E-2</v>
      </c>
      <c r="AM31" s="107">
        <v>682</v>
      </c>
      <c r="AN31" s="108">
        <f t="shared" si="18"/>
        <v>0.31898971000935455</v>
      </c>
      <c r="AO31" s="107">
        <v>317</v>
      </c>
      <c r="AP31" s="108">
        <f t="shared" si="19"/>
        <v>0.14826941066417212</v>
      </c>
      <c r="AQ31" s="107">
        <f t="shared" si="20"/>
        <v>4292</v>
      </c>
      <c r="AR31" s="107">
        <f t="shared" si="21"/>
        <v>149</v>
      </c>
      <c r="AS31" s="108">
        <f t="shared" si="22"/>
        <v>3.4715750232991616E-2</v>
      </c>
      <c r="AT31" s="107">
        <f t="shared" si="23"/>
        <v>2497</v>
      </c>
      <c r="AU31" s="108">
        <f t="shared" si="24"/>
        <v>0.58178005591798698</v>
      </c>
      <c r="AV31" s="107">
        <f t="shared" si="25"/>
        <v>75</v>
      </c>
      <c r="AW31" s="108">
        <f t="shared" si="26"/>
        <v>1.7474370922646785E-2</v>
      </c>
      <c r="AX31" s="107">
        <f t="shared" si="27"/>
        <v>893</v>
      </c>
      <c r="AY31" s="108">
        <f t="shared" si="28"/>
        <v>0.20806150978564772</v>
      </c>
      <c r="AZ31" s="107">
        <f t="shared" si="29"/>
        <v>678</v>
      </c>
      <c r="BA31" s="108">
        <f t="shared" si="30"/>
        <v>0.15796831314072693</v>
      </c>
      <c r="BB31" s="111">
        <v>2086</v>
      </c>
      <c r="BC31" s="111">
        <v>630</v>
      </c>
      <c r="BD31" s="152">
        <f t="shared" si="31"/>
        <v>0.30201342281879195</v>
      </c>
      <c r="BE31" s="111">
        <v>2091</v>
      </c>
      <c r="BF31" s="111">
        <v>567</v>
      </c>
      <c r="BG31" s="152">
        <f t="shared" si="0"/>
        <v>0.27116212338593976</v>
      </c>
      <c r="BH31" s="153">
        <f t="shared" si="32"/>
        <v>4177</v>
      </c>
      <c r="BI31" s="153">
        <f t="shared" si="33"/>
        <v>1197</v>
      </c>
      <c r="BJ31" s="154">
        <f t="shared" si="34"/>
        <v>0.28656930811587261</v>
      </c>
      <c r="BK31" s="107">
        <v>4292</v>
      </c>
      <c r="BL31" s="107">
        <v>1238</v>
      </c>
      <c r="BM31" s="108">
        <f t="shared" si="87"/>
        <v>0.28844361602982294</v>
      </c>
      <c r="BN31" s="107">
        <v>2154</v>
      </c>
      <c r="BO31" s="107">
        <v>481</v>
      </c>
      <c r="BP31" s="108">
        <f t="shared" si="35"/>
        <v>0.22330547818013</v>
      </c>
      <c r="BQ31" s="107">
        <v>2138</v>
      </c>
      <c r="BR31" s="107">
        <v>757</v>
      </c>
      <c r="BS31" s="108">
        <f t="shared" si="36"/>
        <v>0.35406922357343312</v>
      </c>
      <c r="BT31" s="113">
        <v>21027</v>
      </c>
      <c r="BU31" s="113">
        <v>4560</v>
      </c>
      <c r="BV31" s="156">
        <f t="shared" si="37"/>
        <v>0.21686403195890996</v>
      </c>
      <c r="BW31" s="156">
        <f t="shared" si="38"/>
        <v>1</v>
      </c>
      <c r="BX31" s="113">
        <v>18010</v>
      </c>
      <c r="BY31" s="113">
        <v>4290</v>
      </c>
      <c r="BZ31" s="156">
        <f t="shared" si="39"/>
        <v>0.23820099944475293</v>
      </c>
      <c r="CA31" s="156">
        <f t="shared" si="40"/>
        <v>0.94078947368421051</v>
      </c>
      <c r="CB31" s="113">
        <v>508</v>
      </c>
      <c r="CC31" s="113">
        <v>18</v>
      </c>
      <c r="CD31" s="156">
        <f t="shared" si="41"/>
        <v>3.5433070866141732E-2</v>
      </c>
      <c r="CE31" s="156">
        <f t="shared" si="88"/>
        <v>3.9473684210526317E-3</v>
      </c>
      <c r="CF31" s="113">
        <v>1130</v>
      </c>
      <c r="CG31" s="113">
        <v>162</v>
      </c>
      <c r="CH31" s="156">
        <f t="shared" si="42"/>
        <v>0.14336283185840709</v>
      </c>
      <c r="CI31" s="156">
        <f t="shared" si="43"/>
        <v>3.5526315789473684E-2</v>
      </c>
      <c r="CJ31" s="113">
        <v>120</v>
      </c>
      <c r="CK31" s="113">
        <v>13</v>
      </c>
      <c r="CL31" s="161">
        <f t="shared" si="44"/>
        <v>0.10833333333333334</v>
      </c>
      <c r="CM31" s="156">
        <f t="shared" si="45"/>
        <v>2.8508771929824563E-3</v>
      </c>
      <c r="CN31" s="113">
        <v>22</v>
      </c>
      <c r="CO31" s="113">
        <v>2</v>
      </c>
      <c r="CP31" s="161">
        <f t="shared" si="46"/>
        <v>9.0909090909090912E-2</v>
      </c>
      <c r="CQ31" s="156">
        <f t="shared" si="47"/>
        <v>4.3859649122807018E-4</v>
      </c>
      <c r="CR31" s="105">
        <v>138</v>
      </c>
      <c r="CS31" s="105">
        <v>2</v>
      </c>
      <c r="CT31" s="106">
        <f t="shared" si="48"/>
        <v>1.4492753623188406E-2</v>
      </c>
      <c r="CU31" s="106">
        <f t="shared" si="49"/>
        <v>4.3859649122807018E-4</v>
      </c>
      <c r="CV31" s="113">
        <v>362</v>
      </c>
      <c r="CW31" s="113">
        <v>20</v>
      </c>
      <c r="CX31" s="156">
        <f t="shared" si="50"/>
        <v>5.5248618784530384E-2</v>
      </c>
      <c r="CY31" s="156">
        <f t="shared" si="51"/>
        <v>4.3859649122807015E-3</v>
      </c>
      <c r="CZ31" s="113">
        <v>875</v>
      </c>
      <c r="DA31" s="113">
        <v>55</v>
      </c>
      <c r="DB31" s="156">
        <f t="shared" si="52"/>
        <v>6.2857142857142861E-2</v>
      </c>
      <c r="DC31" s="156">
        <f t="shared" si="89"/>
        <v>1.2061403508771929E-2</v>
      </c>
      <c r="DD31" s="107">
        <v>2154</v>
      </c>
      <c r="DE31" s="107">
        <v>163</v>
      </c>
      <c r="DF31" s="107">
        <v>1039</v>
      </c>
      <c r="DG31" s="107">
        <v>600</v>
      </c>
      <c r="DH31" s="107">
        <v>352</v>
      </c>
      <c r="DI31" s="149">
        <f t="shared" si="53"/>
        <v>7.5673166202414113E-2</v>
      </c>
      <c r="DJ31" s="149">
        <f t="shared" si="54"/>
        <v>0.48235840297121635</v>
      </c>
      <c r="DK31" s="149">
        <f t="shared" si="55"/>
        <v>0.44196843082636955</v>
      </c>
      <c r="DL31" s="107">
        <v>2138</v>
      </c>
      <c r="DM31" s="107">
        <v>156</v>
      </c>
      <c r="DN31" s="107">
        <v>958</v>
      </c>
      <c r="DO31" s="107">
        <v>669</v>
      </c>
      <c r="DP31" s="107">
        <v>355</v>
      </c>
      <c r="DQ31" s="149">
        <f t="shared" si="56"/>
        <v>7.2965388213283439E-2</v>
      </c>
      <c r="DR31" s="149">
        <f t="shared" si="57"/>
        <v>0.44808231992516373</v>
      </c>
      <c r="DS31" s="149">
        <f t="shared" si="58"/>
        <v>0.47895229186155286</v>
      </c>
      <c r="DT31" s="107">
        <f t="shared" si="59"/>
        <v>4292</v>
      </c>
      <c r="DU31" s="107">
        <f t="shared" si="60"/>
        <v>319</v>
      </c>
      <c r="DV31" s="107">
        <f t="shared" si="61"/>
        <v>1997</v>
      </c>
      <c r="DW31" s="107">
        <f t="shared" si="62"/>
        <v>1269</v>
      </c>
      <c r="DX31" s="107">
        <f t="shared" si="63"/>
        <v>707</v>
      </c>
      <c r="DY31" s="108">
        <f t="shared" si="64"/>
        <v>7.4324324324324328E-2</v>
      </c>
      <c r="DZ31" s="108">
        <f t="shared" si="65"/>
        <v>0.46528424976700838</v>
      </c>
      <c r="EA31" s="108">
        <f t="shared" si="66"/>
        <v>0.46039142590866727</v>
      </c>
      <c r="EB31" s="107">
        <v>2741</v>
      </c>
      <c r="EC31" s="110">
        <v>335</v>
      </c>
      <c r="ED31" s="108">
        <f t="shared" si="67"/>
        <v>0.1222181685516235</v>
      </c>
      <c r="EE31" s="107">
        <v>702</v>
      </c>
      <c r="EF31" s="108">
        <f t="shared" si="67"/>
        <v>0.25611090842758116</v>
      </c>
      <c r="EG31" s="107">
        <v>977</v>
      </c>
      <c r="EH31" s="108">
        <f t="shared" ref="EH31" si="265">EG31/$EB31</f>
        <v>0.3564392557460781</v>
      </c>
      <c r="EI31" s="107">
        <v>1370</v>
      </c>
      <c r="EJ31" s="108">
        <f t="shared" ref="EJ31" si="266">EI31/$EB31</f>
        <v>0.49981758482305727</v>
      </c>
      <c r="EK31" s="107">
        <v>1975</v>
      </c>
      <c r="EL31" s="108">
        <f t="shared" ref="EL31" si="267">EK31/$EB31</f>
        <v>0.72053994892375051</v>
      </c>
      <c r="EM31" s="107">
        <v>2333</v>
      </c>
      <c r="EN31" s="108">
        <f t="shared" ref="EN31" si="268">EM31/$EB31</f>
        <v>0.85114921561473911</v>
      </c>
      <c r="EO31" s="163">
        <v>68110</v>
      </c>
      <c r="EP31" s="163">
        <v>51625</v>
      </c>
      <c r="EQ31" s="163">
        <v>75192</v>
      </c>
      <c r="ER31" s="163">
        <v>80645</v>
      </c>
      <c r="ES31" s="163">
        <v>50032</v>
      </c>
      <c r="ET31" s="107">
        <v>2086</v>
      </c>
      <c r="EU31" s="107">
        <v>169</v>
      </c>
      <c r="EV31" s="108">
        <f t="shared" si="72"/>
        <v>8.1016299137104508E-2</v>
      </c>
      <c r="EW31" s="107">
        <v>2091</v>
      </c>
      <c r="EX31" s="107">
        <v>315</v>
      </c>
      <c r="EY31" s="108">
        <f t="shared" si="73"/>
        <v>0.15064562410329985</v>
      </c>
      <c r="EZ31" s="107">
        <f t="shared" si="74"/>
        <v>4177</v>
      </c>
      <c r="FA31" s="107">
        <f t="shared" si="75"/>
        <v>484</v>
      </c>
      <c r="FB31" s="108">
        <f t="shared" si="76"/>
        <v>0.11587263586305961</v>
      </c>
      <c r="FC31" s="107">
        <v>4177</v>
      </c>
      <c r="FD31" s="107">
        <v>484</v>
      </c>
      <c r="FE31" s="108">
        <f t="shared" si="77"/>
        <v>0.11587263586305961</v>
      </c>
      <c r="FF31" s="107">
        <v>863</v>
      </c>
      <c r="FG31" s="108">
        <f t="shared" si="77"/>
        <v>0.20660761311946374</v>
      </c>
      <c r="FH31" s="107">
        <v>1161</v>
      </c>
      <c r="FI31" s="108">
        <f t="shared" ref="FI31" si="269">FH31/$FC31</f>
        <v>0.27795068230787645</v>
      </c>
      <c r="FJ31" s="107">
        <v>1305</v>
      </c>
      <c r="FK31" s="108">
        <f t="shared" ref="FK31" si="270">FJ31/$FC31</f>
        <v>0.31242518553986115</v>
      </c>
      <c r="FL31" s="107">
        <v>2116</v>
      </c>
      <c r="FM31" s="108">
        <f t="shared" ref="FM31" si="271">FL31/$FC31</f>
        <v>0.50658367249221925</v>
      </c>
      <c r="FN31" s="107">
        <v>251</v>
      </c>
      <c r="FO31" s="108">
        <v>0.18703427719821161</v>
      </c>
      <c r="FP31" s="107">
        <v>0</v>
      </c>
      <c r="FQ31" s="108">
        <v>0</v>
      </c>
      <c r="FR31" s="107">
        <v>102</v>
      </c>
      <c r="FS31" s="108">
        <v>0.12561576354679804</v>
      </c>
      <c r="FT31" s="110">
        <v>0</v>
      </c>
      <c r="FU31" s="108">
        <v>0</v>
      </c>
      <c r="FV31" s="107">
        <v>226</v>
      </c>
      <c r="FW31" s="108">
        <v>0.18864774624373956</v>
      </c>
      <c r="FX31" s="107">
        <v>0</v>
      </c>
      <c r="FY31" s="108">
        <v>0</v>
      </c>
      <c r="FZ31" s="107">
        <v>18</v>
      </c>
      <c r="GA31" s="108">
        <v>1.9148936170212766E-2</v>
      </c>
      <c r="GB31" s="107">
        <v>0</v>
      </c>
      <c r="GC31" s="108">
        <v>0</v>
      </c>
      <c r="GD31" s="107">
        <v>597</v>
      </c>
      <c r="GE31" s="117">
        <v>0.13909599254426841</v>
      </c>
      <c r="GF31" s="107">
        <v>0</v>
      </c>
      <c r="GG31" s="117">
        <v>0</v>
      </c>
      <c r="GH31" s="107">
        <v>2741</v>
      </c>
      <c r="GI31" s="107">
        <v>407</v>
      </c>
      <c r="GJ31" s="108">
        <f t="shared" si="81"/>
        <v>0.14848595403137541</v>
      </c>
      <c r="GK31" s="107">
        <v>140</v>
      </c>
      <c r="GL31" s="108">
        <f t="shared" si="82"/>
        <v>0.34398034398034399</v>
      </c>
      <c r="GM31" s="107">
        <v>193</v>
      </c>
      <c r="GN31" s="108">
        <f t="shared" si="83"/>
        <v>0.47420147420147418</v>
      </c>
      <c r="GO31" s="107">
        <v>2334</v>
      </c>
      <c r="GP31" s="108">
        <f t="shared" si="84"/>
        <v>0.85151404596862457</v>
      </c>
      <c r="GQ31" s="107">
        <v>1524</v>
      </c>
      <c r="GR31" s="108">
        <f t="shared" si="85"/>
        <v>0.65295629820051415</v>
      </c>
      <c r="GS31" s="107">
        <v>806</v>
      </c>
      <c r="GT31" s="108">
        <f t="shared" si="86"/>
        <v>0.3453299057412168</v>
      </c>
    </row>
    <row r="32" spans="1:202" x14ac:dyDescent="0.25">
      <c r="A32" s="104" t="s">
        <v>204</v>
      </c>
      <c r="B32" s="143">
        <v>86003</v>
      </c>
      <c r="C32" s="143">
        <v>22390</v>
      </c>
      <c r="D32" s="143">
        <v>15933</v>
      </c>
      <c r="E32" s="143">
        <v>6237</v>
      </c>
      <c r="F32" s="143">
        <v>1250</v>
      </c>
      <c r="G32" s="144">
        <f t="shared" si="2"/>
        <v>0.26033975558992128</v>
      </c>
      <c r="H32" s="144">
        <f t="shared" si="3"/>
        <v>0.18526097926816507</v>
      </c>
      <c r="I32" s="144">
        <f t="shared" si="4"/>
        <v>7.2520726021185311E-2</v>
      </c>
      <c r="J32" s="144">
        <f t="shared" si="5"/>
        <v>1.4534376707789263E-2</v>
      </c>
      <c r="K32" s="143">
        <v>7515</v>
      </c>
      <c r="L32" s="145">
        <f t="shared" si="6"/>
        <v>0.4716625870834118</v>
      </c>
      <c r="M32" s="143">
        <v>8418</v>
      </c>
      <c r="N32" s="145">
        <f t="shared" si="7"/>
        <v>0.5283374129165882</v>
      </c>
      <c r="O32" s="148">
        <v>41.5</v>
      </c>
      <c r="P32" s="107">
        <v>34873</v>
      </c>
      <c r="Q32" s="107">
        <v>15624</v>
      </c>
      <c r="R32" s="108">
        <f t="shared" si="8"/>
        <v>0.44802569322971925</v>
      </c>
      <c r="S32" s="107">
        <v>11386</v>
      </c>
      <c r="T32" s="149">
        <f t="shared" si="9"/>
        <v>0.32649901069595388</v>
      </c>
      <c r="U32" s="143">
        <v>7515</v>
      </c>
      <c r="V32" s="107">
        <v>476</v>
      </c>
      <c r="W32" s="108">
        <f t="shared" si="10"/>
        <v>6.3339986693280101E-2</v>
      </c>
      <c r="X32" s="107">
        <v>5149</v>
      </c>
      <c r="Y32" s="150">
        <f t="shared" si="11"/>
        <v>0.68516300731869595</v>
      </c>
      <c r="Z32" s="107">
        <v>263</v>
      </c>
      <c r="AA32" s="108">
        <f t="shared" si="12"/>
        <v>3.4996673320026615E-2</v>
      </c>
      <c r="AB32" s="107">
        <v>776</v>
      </c>
      <c r="AC32" s="108">
        <f t="shared" si="13"/>
        <v>0.10326014637391882</v>
      </c>
      <c r="AD32" s="107">
        <v>851</v>
      </c>
      <c r="AE32" s="108">
        <f t="shared" si="14"/>
        <v>0.1132401862940785</v>
      </c>
      <c r="AF32" s="107">
        <v>8418</v>
      </c>
      <c r="AG32" s="107">
        <v>356</v>
      </c>
      <c r="AH32" s="108">
        <f t="shared" si="15"/>
        <v>4.2290330244713709E-2</v>
      </c>
      <c r="AI32" s="107">
        <v>4388</v>
      </c>
      <c r="AJ32" s="108">
        <f t="shared" si="16"/>
        <v>0.52126395818484206</v>
      </c>
      <c r="AK32" s="107">
        <v>67</v>
      </c>
      <c r="AL32" s="108">
        <f t="shared" si="17"/>
        <v>7.9591351865051074E-3</v>
      </c>
      <c r="AM32" s="107">
        <v>2328</v>
      </c>
      <c r="AN32" s="108">
        <f t="shared" si="18"/>
        <v>0.27655024946543122</v>
      </c>
      <c r="AO32" s="107">
        <v>1279</v>
      </c>
      <c r="AP32" s="108">
        <f t="shared" si="19"/>
        <v>0.15193632691850795</v>
      </c>
      <c r="AQ32" s="107">
        <f t="shared" si="20"/>
        <v>15933</v>
      </c>
      <c r="AR32" s="107">
        <f t="shared" si="21"/>
        <v>832</v>
      </c>
      <c r="AS32" s="108">
        <f t="shared" si="22"/>
        <v>5.2218665662461555E-2</v>
      </c>
      <c r="AT32" s="107">
        <f t="shared" si="23"/>
        <v>9537</v>
      </c>
      <c r="AU32" s="108">
        <f t="shared" si="24"/>
        <v>0.5985690077198268</v>
      </c>
      <c r="AV32" s="107">
        <f t="shared" si="25"/>
        <v>330</v>
      </c>
      <c r="AW32" s="108">
        <f t="shared" si="26"/>
        <v>2.0711730370928261E-2</v>
      </c>
      <c r="AX32" s="107">
        <f t="shared" si="27"/>
        <v>3104</v>
      </c>
      <c r="AY32" s="108">
        <f t="shared" si="28"/>
        <v>0.19481579112533734</v>
      </c>
      <c r="AZ32" s="107">
        <f t="shared" si="29"/>
        <v>2130</v>
      </c>
      <c r="BA32" s="108">
        <f t="shared" si="30"/>
        <v>0.13368480512144607</v>
      </c>
      <c r="BB32" s="111">
        <v>7427</v>
      </c>
      <c r="BC32" s="111">
        <v>2142</v>
      </c>
      <c r="BD32" s="152">
        <f t="shared" si="31"/>
        <v>0.28840716305372288</v>
      </c>
      <c r="BE32" s="111">
        <v>8344</v>
      </c>
      <c r="BF32" s="111">
        <v>2062</v>
      </c>
      <c r="BG32" s="152">
        <f t="shared" si="0"/>
        <v>0.24712368168744009</v>
      </c>
      <c r="BH32" s="153">
        <f t="shared" si="32"/>
        <v>15771</v>
      </c>
      <c r="BI32" s="153">
        <f t="shared" si="33"/>
        <v>4204</v>
      </c>
      <c r="BJ32" s="154">
        <f t="shared" si="34"/>
        <v>0.26656521463445565</v>
      </c>
      <c r="BK32" s="107">
        <v>15933</v>
      </c>
      <c r="BL32" s="107">
        <v>4698</v>
      </c>
      <c r="BM32" s="108">
        <f t="shared" si="87"/>
        <v>0.29485972509885144</v>
      </c>
      <c r="BN32" s="107">
        <v>7515</v>
      </c>
      <c r="BO32" s="107">
        <v>1663</v>
      </c>
      <c r="BP32" s="108">
        <f t="shared" si="35"/>
        <v>0.22129075182967398</v>
      </c>
      <c r="BQ32" s="107">
        <v>8418</v>
      </c>
      <c r="BR32" s="107">
        <v>3035</v>
      </c>
      <c r="BS32" s="108">
        <f t="shared" si="36"/>
        <v>0.36053694464243286</v>
      </c>
      <c r="BT32" s="113">
        <v>86245</v>
      </c>
      <c r="BU32" s="113">
        <v>17061</v>
      </c>
      <c r="BV32" s="156">
        <f t="shared" si="37"/>
        <v>0.19782016348773843</v>
      </c>
      <c r="BW32" s="156">
        <f t="shared" si="38"/>
        <v>1</v>
      </c>
      <c r="BX32" s="113">
        <v>75373</v>
      </c>
      <c r="BY32" s="113">
        <v>16410</v>
      </c>
      <c r="BZ32" s="156">
        <f t="shared" si="39"/>
        <v>0.21771721969405489</v>
      </c>
      <c r="CA32" s="156">
        <f t="shared" si="40"/>
        <v>0.96184279936697736</v>
      </c>
      <c r="CB32" s="113">
        <v>943</v>
      </c>
      <c r="CC32" s="113">
        <v>46</v>
      </c>
      <c r="CD32" s="156">
        <f t="shared" si="41"/>
        <v>4.878048780487805E-2</v>
      </c>
      <c r="CE32" s="156">
        <f t="shared" si="88"/>
        <v>2.6962077252212649E-3</v>
      </c>
      <c r="CF32" s="113">
        <v>270</v>
      </c>
      <c r="CG32" s="113">
        <v>51</v>
      </c>
      <c r="CH32" s="156">
        <f t="shared" si="42"/>
        <v>0.18888888888888888</v>
      </c>
      <c r="CI32" s="156">
        <f t="shared" si="43"/>
        <v>2.989273782310533E-3</v>
      </c>
      <c r="CJ32" s="113">
        <v>862</v>
      </c>
      <c r="CK32" s="113">
        <v>69</v>
      </c>
      <c r="CL32" s="161">
        <f t="shared" si="44"/>
        <v>8.0046403712296987E-2</v>
      </c>
      <c r="CM32" s="156">
        <f t="shared" si="45"/>
        <v>4.044311587831897E-3</v>
      </c>
      <c r="CN32" s="113">
        <v>24</v>
      </c>
      <c r="CO32" s="113">
        <v>4</v>
      </c>
      <c r="CP32" s="161">
        <f t="shared" si="46"/>
        <v>0.16666666666666666</v>
      </c>
      <c r="CQ32" s="156">
        <f t="shared" si="47"/>
        <v>2.3445284567141434E-4</v>
      </c>
      <c r="CR32" s="105">
        <v>1591</v>
      </c>
      <c r="CS32" s="105">
        <v>0</v>
      </c>
      <c r="CT32" s="106">
        <f t="shared" si="48"/>
        <v>0</v>
      </c>
      <c r="CU32" s="106">
        <f t="shared" si="49"/>
        <v>0</v>
      </c>
      <c r="CV32" s="113">
        <v>1216</v>
      </c>
      <c r="CW32" s="113">
        <v>71</v>
      </c>
      <c r="CX32" s="156">
        <f t="shared" si="50"/>
        <v>5.8388157894736843E-2</v>
      </c>
      <c r="CY32" s="156">
        <f t="shared" si="51"/>
        <v>4.1615380106676042E-3</v>
      </c>
      <c r="CZ32" s="113">
        <v>7557</v>
      </c>
      <c r="DA32" s="113">
        <v>410</v>
      </c>
      <c r="DB32" s="156">
        <f t="shared" si="52"/>
        <v>5.4254333730316261E-2</v>
      </c>
      <c r="DC32" s="156">
        <f t="shared" si="89"/>
        <v>2.4031416681319969E-2</v>
      </c>
      <c r="DD32" s="107">
        <v>7515</v>
      </c>
      <c r="DE32" s="107">
        <v>462</v>
      </c>
      <c r="DF32" s="107">
        <v>3207</v>
      </c>
      <c r="DG32" s="107">
        <v>2010</v>
      </c>
      <c r="DH32" s="107">
        <v>1836</v>
      </c>
      <c r="DI32" s="149">
        <f t="shared" si="53"/>
        <v>6.1477045908183633E-2</v>
      </c>
      <c r="DJ32" s="149">
        <f t="shared" si="54"/>
        <v>0.42674650698602795</v>
      </c>
      <c r="DK32" s="149">
        <f t="shared" si="55"/>
        <v>0.5117764471057884</v>
      </c>
      <c r="DL32" s="107">
        <v>8418</v>
      </c>
      <c r="DM32" s="107">
        <v>507</v>
      </c>
      <c r="DN32" s="107">
        <v>3458</v>
      </c>
      <c r="DO32" s="107">
        <v>2211</v>
      </c>
      <c r="DP32" s="107">
        <v>2242</v>
      </c>
      <c r="DQ32" s="149">
        <f t="shared" si="56"/>
        <v>6.0228082679971491E-2</v>
      </c>
      <c r="DR32" s="149">
        <f t="shared" si="57"/>
        <v>0.41078641007365169</v>
      </c>
      <c r="DS32" s="149">
        <f t="shared" si="58"/>
        <v>0.52898550724637683</v>
      </c>
      <c r="DT32" s="107">
        <f t="shared" si="59"/>
        <v>15933</v>
      </c>
      <c r="DU32" s="107">
        <f t="shared" si="60"/>
        <v>969</v>
      </c>
      <c r="DV32" s="107">
        <f t="shared" si="61"/>
        <v>6665</v>
      </c>
      <c r="DW32" s="107">
        <f t="shared" si="62"/>
        <v>4221</v>
      </c>
      <c r="DX32" s="107">
        <f t="shared" si="63"/>
        <v>4078</v>
      </c>
      <c r="DY32" s="108">
        <f t="shared" si="64"/>
        <v>6.0817171907362078E-2</v>
      </c>
      <c r="DZ32" s="108">
        <f t="shared" si="65"/>
        <v>0.41831419067344505</v>
      </c>
      <c r="EA32" s="108">
        <f t="shared" si="66"/>
        <v>0.52086863741919287</v>
      </c>
      <c r="EB32" s="107">
        <v>10375</v>
      </c>
      <c r="EC32" s="110">
        <v>857</v>
      </c>
      <c r="ED32" s="108">
        <f t="shared" si="67"/>
        <v>8.2602409638554211E-2</v>
      </c>
      <c r="EE32" s="107">
        <v>1738</v>
      </c>
      <c r="EF32" s="108">
        <f t="shared" si="67"/>
        <v>0.16751807228915663</v>
      </c>
      <c r="EG32" s="107">
        <v>2786</v>
      </c>
      <c r="EH32" s="108">
        <f t="shared" ref="EH32" si="272">EG32/$EB32</f>
        <v>0.2685301204819277</v>
      </c>
      <c r="EI32" s="107">
        <v>4111</v>
      </c>
      <c r="EJ32" s="108">
        <f t="shared" ref="EJ32" si="273">EI32/$EB32</f>
        <v>0.39624096385542168</v>
      </c>
      <c r="EK32" s="107">
        <v>6416</v>
      </c>
      <c r="EL32" s="108">
        <f t="shared" ref="EL32" si="274">EK32/$EB32</f>
        <v>0.61840963855421682</v>
      </c>
      <c r="EM32" s="107">
        <v>7845</v>
      </c>
      <c r="EN32" s="108">
        <f t="shared" ref="EN32" si="275">EM32/$EB32</f>
        <v>0.75614457831325299</v>
      </c>
      <c r="EO32" s="163">
        <v>83750</v>
      </c>
      <c r="EP32" s="163">
        <v>37316</v>
      </c>
      <c r="EQ32" s="163">
        <v>99022</v>
      </c>
      <c r="ER32" s="163">
        <v>97855</v>
      </c>
      <c r="ES32" s="163">
        <v>59050</v>
      </c>
      <c r="ET32" s="107">
        <v>7427</v>
      </c>
      <c r="EU32" s="107">
        <v>517</v>
      </c>
      <c r="EV32" s="108">
        <f t="shared" si="72"/>
        <v>6.9610879224451333E-2</v>
      </c>
      <c r="EW32" s="107">
        <v>8344</v>
      </c>
      <c r="EX32" s="107">
        <v>772</v>
      </c>
      <c r="EY32" s="108">
        <f t="shared" si="73"/>
        <v>9.2521572387344195E-2</v>
      </c>
      <c r="EZ32" s="107">
        <f t="shared" si="74"/>
        <v>15771</v>
      </c>
      <c r="FA32" s="107">
        <f t="shared" si="75"/>
        <v>1289</v>
      </c>
      <c r="FB32" s="108">
        <f t="shared" si="76"/>
        <v>8.1732293450003171E-2</v>
      </c>
      <c r="FC32" s="107">
        <v>15771</v>
      </c>
      <c r="FD32" s="107">
        <v>1289</v>
      </c>
      <c r="FE32" s="108">
        <f t="shared" si="77"/>
        <v>8.1732293450003171E-2</v>
      </c>
      <c r="FF32" s="107">
        <v>2132</v>
      </c>
      <c r="FG32" s="108">
        <f t="shared" si="77"/>
        <v>0.13518483292118444</v>
      </c>
      <c r="FH32" s="107">
        <v>2845</v>
      </c>
      <c r="FI32" s="108">
        <f t="shared" ref="FI32" si="276">FH32/$FC32</f>
        <v>0.18039439477522035</v>
      </c>
      <c r="FJ32" s="107">
        <v>3337</v>
      </c>
      <c r="FK32" s="108">
        <f t="shared" ref="FK32" si="277">FJ32/$FC32</f>
        <v>0.21159089468010905</v>
      </c>
      <c r="FL32" s="107">
        <v>6283</v>
      </c>
      <c r="FM32" s="108">
        <f t="shared" ref="FM32" si="278">FL32/$FC32</f>
        <v>0.39838944898865003</v>
      </c>
      <c r="FN32" s="107">
        <v>1532</v>
      </c>
      <c r="FO32" s="108">
        <v>0.32010029251984956</v>
      </c>
      <c r="FP32" s="107">
        <v>39</v>
      </c>
      <c r="FQ32" s="108">
        <v>8.1487672377768498E-3</v>
      </c>
      <c r="FR32" s="107">
        <v>344</v>
      </c>
      <c r="FS32" s="108">
        <v>0.12605349945034811</v>
      </c>
      <c r="FT32" s="110">
        <v>0</v>
      </c>
      <c r="FU32" s="108">
        <v>0</v>
      </c>
      <c r="FV32" s="107">
        <v>1017</v>
      </c>
      <c r="FW32" s="108">
        <v>0.20712830957230144</v>
      </c>
      <c r="FX32" s="107">
        <v>9</v>
      </c>
      <c r="FY32" s="108">
        <v>1.8329938900203666E-3</v>
      </c>
      <c r="FZ32" s="107">
        <v>214</v>
      </c>
      <c r="GA32" s="108">
        <v>6.1003420752565561E-2</v>
      </c>
      <c r="GB32" s="107">
        <v>2</v>
      </c>
      <c r="GC32" s="108">
        <v>5.7012542759407071E-4</v>
      </c>
      <c r="GD32" s="107">
        <v>3107</v>
      </c>
      <c r="GE32" s="117">
        <v>0.19500407958325489</v>
      </c>
      <c r="GF32" s="107">
        <v>50</v>
      </c>
      <c r="GG32" s="117">
        <v>3.1381409652921611E-3</v>
      </c>
      <c r="GH32" s="107">
        <v>10375</v>
      </c>
      <c r="GI32" s="107">
        <v>1793</v>
      </c>
      <c r="GJ32" s="108">
        <f t="shared" si="81"/>
        <v>0.17281927710843373</v>
      </c>
      <c r="GK32" s="107">
        <v>522</v>
      </c>
      <c r="GL32" s="108">
        <f t="shared" si="82"/>
        <v>0.29113218070273283</v>
      </c>
      <c r="GM32" s="107">
        <v>998</v>
      </c>
      <c r="GN32" s="108">
        <f t="shared" si="83"/>
        <v>0.5566090351366425</v>
      </c>
      <c r="GO32" s="107">
        <v>8582</v>
      </c>
      <c r="GP32" s="108">
        <f t="shared" si="84"/>
        <v>0.8271807228915663</v>
      </c>
      <c r="GQ32" s="107">
        <v>6647</v>
      </c>
      <c r="GR32" s="108">
        <f t="shared" si="85"/>
        <v>0.77452808203216028</v>
      </c>
      <c r="GS32" s="107">
        <v>1898</v>
      </c>
      <c r="GT32" s="108">
        <f t="shared" si="86"/>
        <v>0.22116056863202052</v>
      </c>
    </row>
    <row r="33" spans="1:202" x14ac:dyDescent="0.25">
      <c r="A33" s="104" t="s">
        <v>205</v>
      </c>
      <c r="B33" s="143">
        <v>26689</v>
      </c>
      <c r="C33" s="143">
        <v>8295</v>
      </c>
      <c r="D33" s="143">
        <v>5822</v>
      </c>
      <c r="E33" s="143">
        <v>2275</v>
      </c>
      <c r="F33" s="143">
        <v>628</v>
      </c>
      <c r="G33" s="144">
        <f t="shared" si="2"/>
        <v>0.31080220315485779</v>
      </c>
      <c r="H33" s="144">
        <f t="shared" si="3"/>
        <v>0.2181423058188767</v>
      </c>
      <c r="I33" s="144">
        <f t="shared" si="4"/>
        <v>8.5241110569897707E-2</v>
      </c>
      <c r="J33" s="144">
        <f t="shared" si="5"/>
        <v>2.3530293379294839E-2</v>
      </c>
      <c r="K33" s="143">
        <v>2871</v>
      </c>
      <c r="L33" s="145">
        <f t="shared" si="6"/>
        <v>0.49312950875987632</v>
      </c>
      <c r="M33" s="143">
        <v>2951</v>
      </c>
      <c r="N33" s="145">
        <f t="shared" si="7"/>
        <v>0.50687049124012362</v>
      </c>
      <c r="O33" s="148">
        <v>45.8</v>
      </c>
      <c r="P33" s="107">
        <v>10955</v>
      </c>
      <c r="Q33" s="107">
        <v>5447</v>
      </c>
      <c r="R33" s="108">
        <f t="shared" si="8"/>
        <v>0.49721588315837517</v>
      </c>
      <c r="S33" s="107">
        <v>4142</v>
      </c>
      <c r="T33" s="149">
        <f t="shared" si="9"/>
        <v>0.37809219534459149</v>
      </c>
      <c r="U33" s="143">
        <v>2871</v>
      </c>
      <c r="V33" s="107">
        <v>172</v>
      </c>
      <c r="W33" s="108">
        <f t="shared" si="10"/>
        <v>5.9909439219784047E-2</v>
      </c>
      <c r="X33" s="107">
        <v>1747</v>
      </c>
      <c r="Y33" s="150">
        <f t="shared" si="11"/>
        <v>0.60849878091257403</v>
      </c>
      <c r="Z33" s="107">
        <v>110</v>
      </c>
      <c r="AA33" s="108">
        <f t="shared" si="12"/>
        <v>3.8314176245210725E-2</v>
      </c>
      <c r="AB33" s="107">
        <v>380</v>
      </c>
      <c r="AC33" s="108">
        <f t="shared" si="13"/>
        <v>0.13235806339254616</v>
      </c>
      <c r="AD33" s="107">
        <v>462</v>
      </c>
      <c r="AE33" s="108">
        <f t="shared" si="14"/>
        <v>0.16091954022988506</v>
      </c>
      <c r="AF33" s="107">
        <v>2951</v>
      </c>
      <c r="AG33" s="107">
        <v>137</v>
      </c>
      <c r="AH33" s="108">
        <f t="shared" si="15"/>
        <v>4.6424940698068448E-2</v>
      </c>
      <c r="AI33" s="107">
        <v>1517</v>
      </c>
      <c r="AJ33" s="108">
        <f t="shared" si="16"/>
        <v>0.51406302948153171</v>
      </c>
      <c r="AK33" s="107">
        <v>81</v>
      </c>
      <c r="AL33" s="108">
        <f t="shared" si="17"/>
        <v>2.7448322602507624E-2</v>
      </c>
      <c r="AM33" s="107">
        <v>842</v>
      </c>
      <c r="AN33" s="108">
        <f t="shared" si="18"/>
        <v>0.28532700779396813</v>
      </c>
      <c r="AO33" s="107">
        <v>374</v>
      </c>
      <c r="AP33" s="108">
        <f t="shared" si="19"/>
        <v>0.1267366994239241</v>
      </c>
      <c r="AQ33" s="107">
        <f t="shared" si="20"/>
        <v>5822</v>
      </c>
      <c r="AR33" s="107">
        <f t="shared" si="21"/>
        <v>309</v>
      </c>
      <c r="AS33" s="108">
        <f t="shared" si="22"/>
        <v>5.3074544829955342E-2</v>
      </c>
      <c r="AT33" s="107">
        <f t="shared" si="23"/>
        <v>3264</v>
      </c>
      <c r="AU33" s="108">
        <f t="shared" si="24"/>
        <v>0.56063208519409136</v>
      </c>
      <c r="AV33" s="107">
        <f t="shared" si="25"/>
        <v>191</v>
      </c>
      <c r="AW33" s="108">
        <f t="shared" si="26"/>
        <v>3.280659567159052E-2</v>
      </c>
      <c r="AX33" s="107">
        <f t="shared" si="27"/>
        <v>1222</v>
      </c>
      <c r="AY33" s="108">
        <f t="shared" si="28"/>
        <v>0.20989350738577808</v>
      </c>
      <c r="AZ33" s="107">
        <f t="shared" si="29"/>
        <v>836</v>
      </c>
      <c r="BA33" s="108">
        <f t="shared" si="30"/>
        <v>0.14359326691858468</v>
      </c>
      <c r="BB33" s="111">
        <v>2803</v>
      </c>
      <c r="BC33" s="111">
        <v>911</v>
      </c>
      <c r="BD33" s="152">
        <f t="shared" si="31"/>
        <v>0.32500891901534068</v>
      </c>
      <c r="BE33" s="111">
        <v>2841</v>
      </c>
      <c r="BF33" s="111">
        <v>882</v>
      </c>
      <c r="BG33" s="152">
        <f t="shared" si="0"/>
        <v>0.31045406546990495</v>
      </c>
      <c r="BH33" s="153">
        <f t="shared" si="32"/>
        <v>5644</v>
      </c>
      <c r="BI33" s="153">
        <f t="shared" si="33"/>
        <v>1793</v>
      </c>
      <c r="BJ33" s="154">
        <f t="shared" si="34"/>
        <v>0.31768249468462084</v>
      </c>
      <c r="BK33" s="107">
        <v>5822</v>
      </c>
      <c r="BL33" s="107">
        <v>1634</v>
      </c>
      <c r="BM33" s="108">
        <f t="shared" si="87"/>
        <v>0.28065956715905188</v>
      </c>
      <c r="BN33" s="107">
        <v>2871</v>
      </c>
      <c r="BO33" s="107">
        <v>697</v>
      </c>
      <c r="BP33" s="108">
        <f t="shared" si="35"/>
        <v>0.24277255311738069</v>
      </c>
      <c r="BQ33" s="107">
        <v>2951</v>
      </c>
      <c r="BR33" s="107">
        <v>937</v>
      </c>
      <c r="BS33" s="108">
        <f t="shared" si="36"/>
        <v>0.31751948492036597</v>
      </c>
      <c r="BT33" s="113">
        <v>26590</v>
      </c>
      <c r="BU33" s="113">
        <v>6136</v>
      </c>
      <c r="BV33" s="156">
        <f t="shared" si="37"/>
        <v>0.23076344490409928</v>
      </c>
      <c r="BW33" s="156">
        <f t="shared" si="38"/>
        <v>1</v>
      </c>
      <c r="BX33" s="113">
        <v>24163</v>
      </c>
      <c r="BY33" s="113">
        <v>5910</v>
      </c>
      <c r="BZ33" s="156">
        <f t="shared" si="39"/>
        <v>0.24458883416794272</v>
      </c>
      <c r="CA33" s="156">
        <f t="shared" si="40"/>
        <v>0.96316818774445889</v>
      </c>
      <c r="CB33" s="113">
        <v>721</v>
      </c>
      <c r="CC33" s="113">
        <v>21</v>
      </c>
      <c r="CD33" s="156">
        <f t="shared" si="41"/>
        <v>2.9126213592233011E-2</v>
      </c>
      <c r="CE33" s="156">
        <f t="shared" si="88"/>
        <v>3.4224250325945241E-3</v>
      </c>
      <c r="CF33" s="113">
        <v>326</v>
      </c>
      <c r="CG33" s="113">
        <v>55</v>
      </c>
      <c r="CH33" s="156">
        <f t="shared" si="42"/>
        <v>0.16871165644171779</v>
      </c>
      <c r="CI33" s="156">
        <f t="shared" si="43"/>
        <v>8.9634941329856579E-3</v>
      </c>
      <c r="CJ33" s="113">
        <v>174</v>
      </c>
      <c r="CK33" s="113">
        <v>22</v>
      </c>
      <c r="CL33" s="161">
        <f t="shared" si="44"/>
        <v>0.12643678160919541</v>
      </c>
      <c r="CM33" s="156">
        <f t="shared" si="45"/>
        <v>3.5853976531942632E-3</v>
      </c>
      <c r="CN33" s="113">
        <v>6</v>
      </c>
      <c r="CO33" s="113">
        <v>2</v>
      </c>
      <c r="CP33" s="161">
        <f t="shared" si="46"/>
        <v>0.33333333333333331</v>
      </c>
      <c r="CQ33" s="156">
        <f t="shared" si="47"/>
        <v>3.2594524119947848E-4</v>
      </c>
      <c r="CR33" s="105">
        <v>114</v>
      </c>
      <c r="CS33" s="105">
        <v>7</v>
      </c>
      <c r="CT33" s="106">
        <f t="shared" si="48"/>
        <v>6.1403508771929821E-2</v>
      </c>
      <c r="CU33" s="106">
        <f t="shared" si="49"/>
        <v>1.1408083441981746E-3</v>
      </c>
      <c r="CV33" s="113">
        <v>340</v>
      </c>
      <c r="CW33" s="113">
        <v>48</v>
      </c>
      <c r="CX33" s="156">
        <f t="shared" si="50"/>
        <v>0.14117647058823529</v>
      </c>
      <c r="CY33" s="156">
        <f t="shared" si="51"/>
        <v>7.8226857887874843E-3</v>
      </c>
      <c r="CZ33" s="113">
        <v>860</v>
      </c>
      <c r="DA33" s="113">
        <v>78</v>
      </c>
      <c r="DB33" s="156">
        <f t="shared" si="52"/>
        <v>9.0697674418604657E-2</v>
      </c>
      <c r="DC33" s="156">
        <f t="shared" si="89"/>
        <v>1.2711864406779662E-2</v>
      </c>
      <c r="DD33" s="107">
        <v>2871</v>
      </c>
      <c r="DE33" s="107">
        <v>362</v>
      </c>
      <c r="DF33" s="107">
        <v>1197</v>
      </c>
      <c r="DG33" s="107">
        <v>807</v>
      </c>
      <c r="DH33" s="107">
        <v>505</v>
      </c>
      <c r="DI33" s="149">
        <f t="shared" si="53"/>
        <v>0.12608847091605713</v>
      </c>
      <c r="DJ33" s="149">
        <f t="shared" si="54"/>
        <v>0.41692789968652039</v>
      </c>
      <c r="DK33" s="149">
        <f t="shared" si="55"/>
        <v>0.45698362939742249</v>
      </c>
      <c r="DL33" s="107">
        <v>2951</v>
      </c>
      <c r="DM33" s="107">
        <v>209</v>
      </c>
      <c r="DN33" s="107">
        <v>1357</v>
      </c>
      <c r="DO33" s="107">
        <v>866</v>
      </c>
      <c r="DP33" s="107">
        <v>519</v>
      </c>
      <c r="DQ33" s="149">
        <f t="shared" si="56"/>
        <v>7.0823449678075232E-2</v>
      </c>
      <c r="DR33" s="149">
        <f t="shared" si="57"/>
        <v>0.4598441206370722</v>
      </c>
      <c r="DS33" s="149">
        <f t="shared" si="58"/>
        <v>0.46933242968485261</v>
      </c>
      <c r="DT33" s="107">
        <f t="shared" si="59"/>
        <v>5822</v>
      </c>
      <c r="DU33" s="107">
        <f t="shared" si="60"/>
        <v>571</v>
      </c>
      <c r="DV33" s="107">
        <f t="shared" si="61"/>
        <v>2554</v>
      </c>
      <c r="DW33" s="107">
        <f t="shared" si="62"/>
        <v>1673</v>
      </c>
      <c r="DX33" s="107">
        <f t="shared" si="63"/>
        <v>1024</v>
      </c>
      <c r="DY33" s="108">
        <f t="shared" si="64"/>
        <v>9.8076262452765378E-2</v>
      </c>
      <c r="DZ33" s="108">
        <f t="shared" si="65"/>
        <v>0.43868086568189624</v>
      </c>
      <c r="EA33" s="108">
        <f t="shared" si="66"/>
        <v>0.46324287186533836</v>
      </c>
      <c r="EB33" s="107">
        <v>3737</v>
      </c>
      <c r="EC33" s="110">
        <v>423</v>
      </c>
      <c r="ED33" s="108">
        <f t="shared" si="67"/>
        <v>0.11319240032111319</v>
      </c>
      <c r="EE33" s="107">
        <v>821</v>
      </c>
      <c r="EF33" s="108">
        <f t="shared" si="67"/>
        <v>0.21969494246721968</v>
      </c>
      <c r="EG33" s="107">
        <v>1407</v>
      </c>
      <c r="EH33" s="108">
        <f t="shared" ref="EH33" si="279">EG33/$EB33</f>
        <v>0.37650521808937648</v>
      </c>
      <c r="EI33" s="107">
        <v>1976</v>
      </c>
      <c r="EJ33" s="108">
        <f t="shared" ref="EJ33" si="280">EI33/$EB33</f>
        <v>0.5287663901525288</v>
      </c>
      <c r="EK33" s="107">
        <v>2675</v>
      </c>
      <c r="EL33" s="108">
        <f t="shared" ref="EL33" si="281">EK33/$EB33</f>
        <v>0.71581482472571578</v>
      </c>
      <c r="EM33" s="107">
        <v>3113</v>
      </c>
      <c r="EN33" s="108">
        <f t="shared" ref="EN33" si="282">EM33/$EB33</f>
        <v>0.83302113995183302</v>
      </c>
      <c r="EO33" s="163">
        <v>67270</v>
      </c>
      <c r="EP33" s="163">
        <v>61375</v>
      </c>
      <c r="EQ33" s="163">
        <v>84067</v>
      </c>
      <c r="ER33" s="163">
        <v>77512</v>
      </c>
      <c r="ES33" s="163">
        <v>45516</v>
      </c>
      <c r="ET33" s="107">
        <v>2803</v>
      </c>
      <c r="EU33" s="107">
        <v>349</v>
      </c>
      <c r="EV33" s="108">
        <f t="shared" si="72"/>
        <v>0.12450945415626115</v>
      </c>
      <c r="EW33" s="107">
        <v>2841</v>
      </c>
      <c r="EX33" s="107">
        <v>312</v>
      </c>
      <c r="EY33" s="108">
        <f t="shared" si="73"/>
        <v>0.10982048574445617</v>
      </c>
      <c r="EZ33" s="107">
        <f t="shared" si="74"/>
        <v>5644</v>
      </c>
      <c r="FA33" s="107">
        <f t="shared" si="75"/>
        <v>661</v>
      </c>
      <c r="FB33" s="108">
        <f t="shared" si="76"/>
        <v>0.11711552090715804</v>
      </c>
      <c r="FC33" s="107">
        <v>5644</v>
      </c>
      <c r="FD33" s="107">
        <v>661</v>
      </c>
      <c r="FE33" s="108">
        <f t="shared" si="77"/>
        <v>0.11711552090715804</v>
      </c>
      <c r="FF33" s="107">
        <v>1134</v>
      </c>
      <c r="FG33" s="108">
        <f t="shared" si="77"/>
        <v>0.20092133238837703</v>
      </c>
      <c r="FH33" s="107">
        <v>1614</v>
      </c>
      <c r="FI33" s="108">
        <f t="shared" ref="FI33" si="283">FH33/$FC33</f>
        <v>0.28596739900779589</v>
      </c>
      <c r="FJ33" s="107">
        <v>1831</v>
      </c>
      <c r="FK33" s="108">
        <f t="shared" ref="FK33" si="284">FJ33/$FC33</f>
        <v>0.3244153082919915</v>
      </c>
      <c r="FL33" s="107">
        <v>3007</v>
      </c>
      <c r="FM33" s="108">
        <f t="shared" ref="FM33" si="285">FL33/$FC33</f>
        <v>0.53277817150956763</v>
      </c>
      <c r="FN33" s="107">
        <v>447</v>
      </c>
      <c r="FO33" s="108">
        <v>0.24520021941854087</v>
      </c>
      <c r="FP33" s="107">
        <v>45</v>
      </c>
      <c r="FQ33" s="108">
        <v>2.4684585847504114E-2</v>
      </c>
      <c r="FR33" s="107">
        <v>109</v>
      </c>
      <c r="FS33" s="108">
        <v>0.10400763358778627</v>
      </c>
      <c r="FT33" s="110">
        <v>2</v>
      </c>
      <c r="FU33" s="108">
        <v>1.9083969465648854E-3</v>
      </c>
      <c r="FV33" s="107">
        <v>478</v>
      </c>
      <c r="FW33" s="108">
        <v>0.27726218097447797</v>
      </c>
      <c r="FX33" s="107">
        <v>3</v>
      </c>
      <c r="FY33" s="108">
        <v>1.7401392111368909E-3</v>
      </c>
      <c r="FZ33" s="107">
        <v>44</v>
      </c>
      <c r="GA33" s="108">
        <v>3.5859820700896494E-2</v>
      </c>
      <c r="GB33" s="107">
        <v>1</v>
      </c>
      <c r="GC33" s="108">
        <v>8.1499592502037486E-4</v>
      </c>
      <c r="GD33" s="107">
        <v>1078</v>
      </c>
      <c r="GE33" s="117">
        <v>0.18515973892133286</v>
      </c>
      <c r="GF33" s="107">
        <v>51</v>
      </c>
      <c r="GG33" s="117">
        <v>8.7598763311576774E-3</v>
      </c>
      <c r="GH33" s="107">
        <v>3737</v>
      </c>
      <c r="GI33" s="107">
        <v>606</v>
      </c>
      <c r="GJ33" s="108">
        <f t="shared" si="81"/>
        <v>0.16216216216216217</v>
      </c>
      <c r="GK33" s="107">
        <v>283</v>
      </c>
      <c r="GL33" s="108">
        <f t="shared" si="82"/>
        <v>0.46699669966996699</v>
      </c>
      <c r="GM33" s="107">
        <v>227</v>
      </c>
      <c r="GN33" s="108">
        <f t="shared" si="83"/>
        <v>0.37458745874587457</v>
      </c>
      <c r="GO33" s="107">
        <v>3131</v>
      </c>
      <c r="GP33" s="108">
        <f t="shared" si="84"/>
        <v>0.83783783783783783</v>
      </c>
      <c r="GQ33" s="107">
        <v>2304</v>
      </c>
      <c r="GR33" s="108">
        <f t="shared" si="85"/>
        <v>0.73586713510060686</v>
      </c>
      <c r="GS33" s="107">
        <v>801</v>
      </c>
      <c r="GT33" s="108">
        <f t="shared" si="86"/>
        <v>0.25582880868732033</v>
      </c>
    </row>
    <row r="34" spans="1:202" x14ac:dyDescent="0.25">
      <c r="A34" s="104" t="s">
        <v>206</v>
      </c>
      <c r="B34" s="143">
        <v>168438</v>
      </c>
      <c r="C34" s="143">
        <v>38793</v>
      </c>
      <c r="D34" s="143">
        <v>26664</v>
      </c>
      <c r="E34" s="143">
        <v>10145</v>
      </c>
      <c r="F34" s="143">
        <v>2511</v>
      </c>
      <c r="G34" s="144">
        <f t="shared" si="2"/>
        <v>0.23031026252983294</v>
      </c>
      <c r="H34" s="144">
        <f t="shared" si="3"/>
        <v>0.15830157090442773</v>
      </c>
      <c r="I34" s="144">
        <f t="shared" si="4"/>
        <v>6.0229876868640092E-2</v>
      </c>
      <c r="J34" s="144">
        <f t="shared" si="5"/>
        <v>1.4907562426530831E-2</v>
      </c>
      <c r="K34" s="143">
        <v>12162</v>
      </c>
      <c r="L34" s="145">
        <f t="shared" si="6"/>
        <v>0.45612061206120613</v>
      </c>
      <c r="M34" s="143">
        <v>14502</v>
      </c>
      <c r="N34" s="145">
        <f t="shared" si="7"/>
        <v>0.54387938793879387</v>
      </c>
      <c r="O34" s="148">
        <v>39.4</v>
      </c>
      <c r="P34" s="107">
        <v>68904</v>
      </c>
      <c r="Q34" s="107">
        <v>27119</v>
      </c>
      <c r="R34" s="108">
        <f t="shared" si="8"/>
        <v>0.39357657030070825</v>
      </c>
      <c r="S34" s="107">
        <v>19820</v>
      </c>
      <c r="T34" s="149">
        <f t="shared" si="9"/>
        <v>0.28764658075002902</v>
      </c>
      <c r="U34" s="143">
        <v>12162</v>
      </c>
      <c r="V34" s="107">
        <v>1089</v>
      </c>
      <c r="W34" s="108">
        <f t="shared" si="10"/>
        <v>8.9541193882585107E-2</v>
      </c>
      <c r="X34" s="107">
        <v>7871</v>
      </c>
      <c r="Y34" s="150">
        <f t="shared" si="11"/>
        <v>0.64717974017431346</v>
      </c>
      <c r="Z34" s="107">
        <v>227</v>
      </c>
      <c r="AA34" s="108">
        <f t="shared" si="12"/>
        <v>1.8664693307021873E-2</v>
      </c>
      <c r="AB34" s="107">
        <v>1369</v>
      </c>
      <c r="AC34" s="108">
        <f t="shared" si="13"/>
        <v>0.11256372307186319</v>
      </c>
      <c r="AD34" s="107">
        <v>1606</v>
      </c>
      <c r="AE34" s="108">
        <f t="shared" si="14"/>
        <v>0.13205064956421642</v>
      </c>
      <c r="AF34" s="107">
        <v>14502</v>
      </c>
      <c r="AG34" s="107">
        <v>611</v>
      </c>
      <c r="AH34" s="108">
        <f t="shared" si="15"/>
        <v>4.2132119707626536E-2</v>
      </c>
      <c r="AI34" s="107">
        <v>7092</v>
      </c>
      <c r="AJ34" s="108">
        <f t="shared" si="16"/>
        <v>0.48903599503516754</v>
      </c>
      <c r="AK34" s="107">
        <v>379</v>
      </c>
      <c r="AL34" s="108">
        <f t="shared" si="17"/>
        <v>2.6134326299820713E-2</v>
      </c>
      <c r="AM34" s="107">
        <v>4004</v>
      </c>
      <c r="AN34" s="108">
        <f t="shared" si="18"/>
        <v>0.27609984829678663</v>
      </c>
      <c r="AO34" s="107">
        <v>2416</v>
      </c>
      <c r="AP34" s="108">
        <f t="shared" si="19"/>
        <v>0.16659771066059853</v>
      </c>
      <c r="AQ34" s="107">
        <f t="shared" si="20"/>
        <v>26664</v>
      </c>
      <c r="AR34" s="107">
        <f t="shared" si="21"/>
        <v>1700</v>
      </c>
      <c r="AS34" s="108">
        <f t="shared" si="22"/>
        <v>6.3756375637563756E-2</v>
      </c>
      <c r="AT34" s="107">
        <f t="shared" si="23"/>
        <v>14963</v>
      </c>
      <c r="AU34" s="108">
        <f t="shared" si="24"/>
        <v>0.56116861686168618</v>
      </c>
      <c r="AV34" s="107">
        <f t="shared" si="25"/>
        <v>606</v>
      </c>
      <c r="AW34" s="108">
        <f t="shared" si="26"/>
        <v>2.2727272727272728E-2</v>
      </c>
      <c r="AX34" s="107">
        <f t="shared" si="27"/>
        <v>5373</v>
      </c>
      <c r="AY34" s="108">
        <f t="shared" si="28"/>
        <v>0.20150765076507651</v>
      </c>
      <c r="AZ34" s="107">
        <f t="shared" si="29"/>
        <v>4022</v>
      </c>
      <c r="BA34" s="108">
        <f t="shared" si="30"/>
        <v>0.15084008400840085</v>
      </c>
      <c r="BB34" s="111">
        <v>11908</v>
      </c>
      <c r="BC34" s="111">
        <v>4042</v>
      </c>
      <c r="BD34" s="152">
        <f t="shared" si="31"/>
        <v>0.33943567349680887</v>
      </c>
      <c r="BE34" s="111">
        <v>14179</v>
      </c>
      <c r="BF34" s="111">
        <v>4873</v>
      </c>
      <c r="BG34" s="152">
        <f t="shared" si="0"/>
        <v>0.34367726920093095</v>
      </c>
      <c r="BH34" s="153">
        <f t="shared" si="32"/>
        <v>26087</v>
      </c>
      <c r="BI34" s="153">
        <f t="shared" si="33"/>
        <v>8915</v>
      </c>
      <c r="BJ34" s="154">
        <f t="shared" si="34"/>
        <v>0.34174109709817152</v>
      </c>
      <c r="BK34" s="107">
        <v>26664</v>
      </c>
      <c r="BL34" s="107">
        <v>7602</v>
      </c>
      <c r="BM34" s="108">
        <f t="shared" si="87"/>
        <v>0.28510351035103509</v>
      </c>
      <c r="BN34" s="107">
        <v>12162</v>
      </c>
      <c r="BO34" s="107">
        <v>2625</v>
      </c>
      <c r="BP34" s="108">
        <f t="shared" si="35"/>
        <v>0.21583621114948198</v>
      </c>
      <c r="BQ34" s="107">
        <v>14502</v>
      </c>
      <c r="BR34" s="107">
        <v>4977</v>
      </c>
      <c r="BS34" s="108">
        <f t="shared" si="36"/>
        <v>0.34319404220107569</v>
      </c>
      <c r="BT34" s="113">
        <v>168754</v>
      </c>
      <c r="BU34" s="113">
        <v>28821</v>
      </c>
      <c r="BV34" s="156">
        <f t="shared" si="37"/>
        <v>0.17078706282517747</v>
      </c>
      <c r="BW34" s="156">
        <f t="shared" si="38"/>
        <v>1</v>
      </c>
      <c r="BX34" s="113">
        <v>121698</v>
      </c>
      <c r="BY34" s="113">
        <v>25603</v>
      </c>
      <c r="BZ34" s="156">
        <f t="shared" si="39"/>
        <v>0.21038143601373893</v>
      </c>
      <c r="CA34" s="156">
        <f t="shared" si="40"/>
        <v>0.88834530377155552</v>
      </c>
      <c r="CB34" s="113">
        <v>11934</v>
      </c>
      <c r="CC34" s="113">
        <v>989</v>
      </c>
      <c r="CD34" s="156">
        <f t="shared" si="41"/>
        <v>8.2872465225406408E-2</v>
      </c>
      <c r="CE34" s="156">
        <f t="shared" si="88"/>
        <v>3.4315256236771799E-2</v>
      </c>
      <c r="CF34" s="113">
        <v>504</v>
      </c>
      <c r="CG34" s="113">
        <v>109</v>
      </c>
      <c r="CH34" s="156">
        <f t="shared" si="42"/>
        <v>0.21626984126984128</v>
      </c>
      <c r="CI34" s="156">
        <f t="shared" si="43"/>
        <v>3.7819645397453245E-3</v>
      </c>
      <c r="CJ34" s="113">
        <v>3539</v>
      </c>
      <c r="CK34" s="113">
        <v>432</v>
      </c>
      <c r="CL34" s="161">
        <f t="shared" si="44"/>
        <v>0.12206838089855891</v>
      </c>
      <c r="CM34" s="156">
        <f t="shared" si="45"/>
        <v>1.498907046944936E-2</v>
      </c>
      <c r="CN34" s="113">
        <v>98</v>
      </c>
      <c r="CO34" s="113">
        <v>20</v>
      </c>
      <c r="CP34" s="161">
        <f t="shared" si="46"/>
        <v>0.20408163265306123</v>
      </c>
      <c r="CQ34" s="156">
        <f t="shared" si="47"/>
        <v>6.9393844765969258E-4</v>
      </c>
      <c r="CR34" s="105">
        <v>2256</v>
      </c>
      <c r="CS34" s="105">
        <v>91</v>
      </c>
      <c r="CT34" s="106">
        <f t="shared" si="48"/>
        <v>4.0336879432624116E-2</v>
      </c>
      <c r="CU34" s="106">
        <f t="shared" si="49"/>
        <v>3.1574199368516014E-3</v>
      </c>
      <c r="CV34" s="113">
        <v>4270</v>
      </c>
      <c r="CW34" s="113">
        <v>202</v>
      </c>
      <c r="CX34" s="156">
        <f t="shared" si="50"/>
        <v>4.7306791569086654E-2</v>
      </c>
      <c r="CY34" s="156">
        <f t="shared" si="51"/>
        <v>7.0087783213628949E-3</v>
      </c>
      <c r="CZ34" s="113">
        <v>26711</v>
      </c>
      <c r="DA34" s="113">
        <v>1466</v>
      </c>
      <c r="DB34" s="156">
        <f t="shared" si="52"/>
        <v>5.4883755756055558E-2</v>
      </c>
      <c r="DC34" s="156">
        <f t="shared" si="89"/>
        <v>5.0865688213455468E-2</v>
      </c>
      <c r="DD34" s="107">
        <v>12162</v>
      </c>
      <c r="DE34" s="107">
        <v>1115</v>
      </c>
      <c r="DF34" s="107">
        <v>3896</v>
      </c>
      <c r="DG34" s="107">
        <v>4023</v>
      </c>
      <c r="DH34" s="107">
        <v>3128</v>
      </c>
      <c r="DI34" s="149">
        <f t="shared" si="53"/>
        <v>9.1679000164446633E-2</v>
      </c>
      <c r="DJ34" s="149">
        <f t="shared" si="54"/>
        <v>0.32034204900509783</v>
      </c>
      <c r="DK34" s="149">
        <f t="shared" si="55"/>
        <v>0.58797895083045548</v>
      </c>
      <c r="DL34" s="107">
        <v>14502</v>
      </c>
      <c r="DM34" s="107">
        <v>1434</v>
      </c>
      <c r="DN34" s="107">
        <v>4912</v>
      </c>
      <c r="DO34" s="107">
        <v>5034</v>
      </c>
      <c r="DP34" s="107">
        <v>3122</v>
      </c>
      <c r="DQ34" s="149">
        <f t="shared" si="56"/>
        <v>9.8882912701696316E-2</v>
      </c>
      <c r="DR34" s="149">
        <f t="shared" si="57"/>
        <v>0.33871190180664734</v>
      </c>
      <c r="DS34" s="149">
        <f t="shared" si="58"/>
        <v>0.5624051854916563</v>
      </c>
      <c r="DT34" s="107">
        <f t="shared" si="59"/>
        <v>26664</v>
      </c>
      <c r="DU34" s="107">
        <f t="shared" si="60"/>
        <v>2549</v>
      </c>
      <c r="DV34" s="107">
        <f t="shared" si="61"/>
        <v>8808</v>
      </c>
      <c r="DW34" s="107">
        <f t="shared" si="62"/>
        <v>9057</v>
      </c>
      <c r="DX34" s="107">
        <f t="shared" si="63"/>
        <v>6250</v>
      </c>
      <c r="DY34" s="108">
        <f t="shared" si="64"/>
        <v>9.55970597059706E-2</v>
      </c>
      <c r="DZ34" s="108">
        <f t="shared" si="65"/>
        <v>0.33033303330333036</v>
      </c>
      <c r="EA34" s="108">
        <f t="shared" si="66"/>
        <v>0.57406990699069904</v>
      </c>
      <c r="EB34" s="107">
        <v>17498</v>
      </c>
      <c r="EC34" s="110">
        <v>1544</v>
      </c>
      <c r="ED34" s="108">
        <f t="shared" si="67"/>
        <v>8.8238655846382449E-2</v>
      </c>
      <c r="EE34" s="107">
        <v>3170</v>
      </c>
      <c r="EF34" s="108">
        <f t="shared" si="67"/>
        <v>0.18116356154989141</v>
      </c>
      <c r="EG34" s="107">
        <v>5005</v>
      </c>
      <c r="EH34" s="108">
        <f t="shared" ref="EH34" si="286">EG34/$EB34</f>
        <v>0.28603268945022287</v>
      </c>
      <c r="EI34" s="107">
        <v>7119</v>
      </c>
      <c r="EJ34" s="108">
        <f t="shared" ref="EJ34" si="287">EI34/$EB34</f>
        <v>0.40684649674248485</v>
      </c>
      <c r="EK34" s="107">
        <v>10275</v>
      </c>
      <c r="EL34" s="108">
        <f t="shared" ref="EL34" si="288">EK34/$EB34</f>
        <v>0.58720996685335469</v>
      </c>
      <c r="EM34" s="107">
        <v>12806</v>
      </c>
      <c r="EN34" s="108">
        <f t="shared" ref="EN34" si="289">EM34/$EB34</f>
        <v>0.73185506915076004</v>
      </c>
      <c r="EO34" s="163">
        <v>81239</v>
      </c>
      <c r="EP34" s="163">
        <v>41306</v>
      </c>
      <c r="EQ34" s="163">
        <v>84757</v>
      </c>
      <c r="ER34" s="163">
        <v>99729</v>
      </c>
      <c r="ES34" s="163">
        <v>60926</v>
      </c>
      <c r="ET34" s="107">
        <v>11908</v>
      </c>
      <c r="EU34" s="107">
        <v>907</v>
      </c>
      <c r="EV34" s="108">
        <f t="shared" si="72"/>
        <v>7.616728249916023E-2</v>
      </c>
      <c r="EW34" s="107">
        <v>14179</v>
      </c>
      <c r="EX34" s="107">
        <v>1543</v>
      </c>
      <c r="EY34" s="108">
        <f t="shared" si="73"/>
        <v>0.10882290711615769</v>
      </c>
      <c r="EZ34" s="107">
        <f t="shared" si="74"/>
        <v>26087</v>
      </c>
      <c r="FA34" s="107">
        <f t="shared" si="75"/>
        <v>2450</v>
      </c>
      <c r="FB34" s="108">
        <f t="shared" si="76"/>
        <v>9.391651013914977E-2</v>
      </c>
      <c r="FC34" s="107">
        <v>26087</v>
      </c>
      <c r="FD34" s="107">
        <v>2450</v>
      </c>
      <c r="FE34" s="108">
        <f t="shared" si="77"/>
        <v>9.391651013914977E-2</v>
      </c>
      <c r="FF34" s="107">
        <v>4026</v>
      </c>
      <c r="FG34" s="108">
        <f t="shared" si="77"/>
        <v>0.15432974278376202</v>
      </c>
      <c r="FH34" s="107">
        <v>5446</v>
      </c>
      <c r="FI34" s="108">
        <f t="shared" ref="FI34" si="290">FH34/$FC34</f>
        <v>0.20876298539502433</v>
      </c>
      <c r="FJ34" s="107">
        <v>6078</v>
      </c>
      <c r="FK34" s="108">
        <f t="shared" ref="FK34" si="291">FJ34/$FC34</f>
        <v>0.23298961168398052</v>
      </c>
      <c r="FL34" s="107">
        <v>10023</v>
      </c>
      <c r="FM34" s="108">
        <f t="shared" ref="FM34" si="292">FL34/$FC34</f>
        <v>0.38421435964273393</v>
      </c>
      <c r="FN34" s="107">
        <v>2365</v>
      </c>
      <c r="FO34" s="108">
        <v>0.29662611313181991</v>
      </c>
      <c r="FP34" s="107">
        <v>59</v>
      </c>
      <c r="FQ34" s="108">
        <v>7.3999749153392698E-3</v>
      </c>
      <c r="FR34" s="107">
        <v>337</v>
      </c>
      <c r="FS34" s="108">
        <v>8.0448794461685361E-2</v>
      </c>
      <c r="FT34" s="110">
        <v>7</v>
      </c>
      <c r="FU34" s="108">
        <v>1.6710432084029601E-3</v>
      </c>
      <c r="FV34" s="107">
        <v>2151</v>
      </c>
      <c r="FW34" s="108">
        <v>0.25169670021062485</v>
      </c>
      <c r="FX34" s="107">
        <v>48</v>
      </c>
      <c r="FY34" s="108">
        <v>5.6166627662064122E-3</v>
      </c>
      <c r="FZ34" s="107">
        <v>186</v>
      </c>
      <c r="GA34" s="108">
        <v>3.1229012760241773E-2</v>
      </c>
      <c r="GB34" s="107">
        <v>9</v>
      </c>
      <c r="GC34" s="108">
        <v>1.5110812625923438E-3</v>
      </c>
      <c r="GD34" s="107">
        <v>5039</v>
      </c>
      <c r="GE34" s="117">
        <v>0.18898139813981399</v>
      </c>
      <c r="GF34" s="107">
        <v>123</v>
      </c>
      <c r="GG34" s="117">
        <v>4.6129612961296126E-3</v>
      </c>
      <c r="GH34" s="107">
        <v>17498</v>
      </c>
      <c r="GI34" s="107">
        <v>3834</v>
      </c>
      <c r="GJ34" s="108">
        <f t="shared" si="81"/>
        <v>0.21911075551491599</v>
      </c>
      <c r="GK34" s="107">
        <v>1288</v>
      </c>
      <c r="GL34" s="108">
        <f t="shared" si="82"/>
        <v>0.33594157537819508</v>
      </c>
      <c r="GM34" s="107">
        <v>2198</v>
      </c>
      <c r="GN34" s="108">
        <f t="shared" si="83"/>
        <v>0.57329160146061553</v>
      </c>
      <c r="GO34" s="107">
        <v>13664</v>
      </c>
      <c r="GP34" s="108">
        <f t="shared" si="84"/>
        <v>0.78088924448508401</v>
      </c>
      <c r="GQ34" s="107">
        <v>10381</v>
      </c>
      <c r="GR34" s="108">
        <f t="shared" si="85"/>
        <v>0.75973360655737709</v>
      </c>
      <c r="GS34" s="107">
        <v>3206</v>
      </c>
      <c r="GT34" s="108">
        <f t="shared" si="86"/>
        <v>0.2346311475409836</v>
      </c>
    </row>
    <row r="35" spans="1:202" x14ac:dyDescent="0.25">
      <c r="A35" s="104" t="s">
        <v>207</v>
      </c>
      <c r="B35" s="143">
        <v>20664</v>
      </c>
      <c r="C35" s="143">
        <v>6250</v>
      </c>
      <c r="D35" s="143">
        <v>4582</v>
      </c>
      <c r="E35" s="143">
        <v>1933</v>
      </c>
      <c r="F35" s="143">
        <v>485</v>
      </c>
      <c r="G35" s="144">
        <f t="shared" si="2"/>
        <v>0.30245838172667439</v>
      </c>
      <c r="H35" s="144">
        <f t="shared" si="3"/>
        <v>0.22173828881145954</v>
      </c>
      <c r="I35" s="144">
        <f t="shared" si="4"/>
        <v>9.3544328300425861E-2</v>
      </c>
      <c r="J35" s="144">
        <f t="shared" si="5"/>
        <v>2.3470770421989934E-2</v>
      </c>
      <c r="K35" s="143">
        <v>2209</v>
      </c>
      <c r="L35" s="145">
        <f t="shared" si="6"/>
        <v>0.48210388476647753</v>
      </c>
      <c r="M35" s="143">
        <v>2373</v>
      </c>
      <c r="N35" s="145">
        <f t="shared" si="7"/>
        <v>0.51789611523352252</v>
      </c>
      <c r="O35" s="148">
        <v>44.6</v>
      </c>
      <c r="P35" s="107">
        <v>8357</v>
      </c>
      <c r="Q35" s="107">
        <v>4166</v>
      </c>
      <c r="R35" s="108">
        <f t="shared" si="8"/>
        <v>0.49850424793586218</v>
      </c>
      <c r="S35" s="107">
        <v>3180</v>
      </c>
      <c r="T35" s="149">
        <f t="shared" si="9"/>
        <v>0.38051932511666864</v>
      </c>
      <c r="U35" s="143">
        <v>2209</v>
      </c>
      <c r="V35" s="107">
        <v>123</v>
      </c>
      <c r="W35" s="108">
        <f t="shared" si="10"/>
        <v>5.5681303757356269E-2</v>
      </c>
      <c r="X35" s="107">
        <v>1617</v>
      </c>
      <c r="Y35" s="150">
        <f t="shared" si="11"/>
        <v>0.73200543232231774</v>
      </c>
      <c r="Z35" s="107">
        <v>30</v>
      </c>
      <c r="AA35" s="108">
        <f t="shared" si="12"/>
        <v>1.3580805794477138E-2</v>
      </c>
      <c r="AB35" s="107">
        <v>207</v>
      </c>
      <c r="AC35" s="108">
        <f t="shared" si="13"/>
        <v>9.3707559981892258E-2</v>
      </c>
      <c r="AD35" s="107">
        <v>232</v>
      </c>
      <c r="AE35" s="108">
        <f t="shared" si="14"/>
        <v>0.10502489814395655</v>
      </c>
      <c r="AF35" s="107">
        <v>2373</v>
      </c>
      <c r="AG35" s="107">
        <v>39</v>
      </c>
      <c r="AH35" s="108">
        <f t="shared" si="15"/>
        <v>1.643489254108723E-2</v>
      </c>
      <c r="AI35" s="107">
        <v>1241</v>
      </c>
      <c r="AJ35" s="108">
        <f t="shared" si="16"/>
        <v>0.5229667088074168</v>
      </c>
      <c r="AK35" s="107">
        <v>52</v>
      </c>
      <c r="AL35" s="108">
        <f t="shared" si="17"/>
        <v>2.1913190054782976E-2</v>
      </c>
      <c r="AM35" s="107">
        <v>744</v>
      </c>
      <c r="AN35" s="108">
        <f t="shared" si="18"/>
        <v>0.31352718078381797</v>
      </c>
      <c r="AO35" s="107">
        <v>297</v>
      </c>
      <c r="AP35" s="108">
        <f t="shared" si="19"/>
        <v>0.12515802781289506</v>
      </c>
      <c r="AQ35" s="107">
        <f t="shared" si="20"/>
        <v>4582</v>
      </c>
      <c r="AR35" s="107">
        <f t="shared" si="21"/>
        <v>162</v>
      </c>
      <c r="AS35" s="108">
        <f t="shared" si="22"/>
        <v>3.5355739851593189E-2</v>
      </c>
      <c r="AT35" s="107">
        <f t="shared" si="23"/>
        <v>2858</v>
      </c>
      <c r="AU35" s="108">
        <f t="shared" si="24"/>
        <v>0.62374508948057616</v>
      </c>
      <c r="AV35" s="107">
        <f t="shared" si="25"/>
        <v>82</v>
      </c>
      <c r="AW35" s="108">
        <f t="shared" si="26"/>
        <v>1.789611523352248E-2</v>
      </c>
      <c r="AX35" s="107">
        <f t="shared" si="27"/>
        <v>951</v>
      </c>
      <c r="AY35" s="108">
        <f t="shared" si="28"/>
        <v>0.20755128764731559</v>
      </c>
      <c r="AZ35" s="107">
        <f t="shared" si="29"/>
        <v>529</v>
      </c>
      <c r="BA35" s="108">
        <f t="shared" si="30"/>
        <v>0.11545176778699258</v>
      </c>
      <c r="BB35" s="111">
        <v>2181</v>
      </c>
      <c r="BC35" s="111">
        <v>496</v>
      </c>
      <c r="BD35" s="152">
        <f t="shared" si="31"/>
        <v>0.22741861531407612</v>
      </c>
      <c r="BE35" s="111">
        <v>2325</v>
      </c>
      <c r="BF35" s="111">
        <v>540</v>
      </c>
      <c r="BG35" s="152">
        <f t="shared" si="0"/>
        <v>0.23225806451612904</v>
      </c>
      <c r="BH35" s="153">
        <f t="shared" si="32"/>
        <v>4506</v>
      </c>
      <c r="BI35" s="153">
        <f t="shared" si="33"/>
        <v>1036</v>
      </c>
      <c r="BJ35" s="154">
        <f t="shared" si="34"/>
        <v>0.22991566799822458</v>
      </c>
      <c r="BK35" s="107">
        <v>4582</v>
      </c>
      <c r="BL35" s="107">
        <v>1240</v>
      </c>
      <c r="BM35" s="108">
        <f t="shared" si="87"/>
        <v>0.27062418158009605</v>
      </c>
      <c r="BN35" s="107">
        <v>2209</v>
      </c>
      <c r="BO35" s="107">
        <v>397</v>
      </c>
      <c r="BP35" s="108">
        <f t="shared" si="35"/>
        <v>0.17971933001358081</v>
      </c>
      <c r="BQ35" s="107">
        <v>2373</v>
      </c>
      <c r="BR35" s="107">
        <v>843</v>
      </c>
      <c r="BS35" s="108">
        <f t="shared" si="36"/>
        <v>0.3552465233881163</v>
      </c>
      <c r="BT35" s="113">
        <v>20751</v>
      </c>
      <c r="BU35" s="113">
        <v>4868</v>
      </c>
      <c r="BV35" s="156">
        <f t="shared" si="37"/>
        <v>0.23459110404317865</v>
      </c>
      <c r="BW35" s="156">
        <f t="shared" si="38"/>
        <v>1</v>
      </c>
      <c r="BX35" s="113">
        <v>19193</v>
      </c>
      <c r="BY35" s="113">
        <v>4761</v>
      </c>
      <c r="BZ35" s="156">
        <f t="shared" si="39"/>
        <v>0.24805918824571457</v>
      </c>
      <c r="CA35" s="156">
        <f t="shared" si="40"/>
        <v>0.97801972062448639</v>
      </c>
      <c r="CB35" s="113">
        <v>118</v>
      </c>
      <c r="CC35" s="113">
        <v>15</v>
      </c>
      <c r="CD35" s="156">
        <f t="shared" si="41"/>
        <v>0.1271186440677966</v>
      </c>
      <c r="CE35" s="156">
        <f t="shared" si="88"/>
        <v>3.0813475760065735E-3</v>
      </c>
      <c r="CF35" s="113">
        <v>147</v>
      </c>
      <c r="CG35" s="113">
        <v>13</v>
      </c>
      <c r="CH35" s="156">
        <f t="shared" si="42"/>
        <v>8.8435374149659865E-2</v>
      </c>
      <c r="CI35" s="156">
        <f t="shared" si="43"/>
        <v>2.6705012325390306E-3</v>
      </c>
      <c r="CJ35" s="113">
        <v>133</v>
      </c>
      <c r="CK35" s="113">
        <v>19</v>
      </c>
      <c r="CL35" s="161">
        <f t="shared" si="44"/>
        <v>0.14285714285714285</v>
      </c>
      <c r="CM35" s="156">
        <f t="shared" si="45"/>
        <v>3.9030402629416597E-3</v>
      </c>
      <c r="CN35" s="113">
        <v>9</v>
      </c>
      <c r="CO35" s="113">
        <v>3</v>
      </c>
      <c r="CP35" s="161">
        <f t="shared" si="46"/>
        <v>0.33333333333333331</v>
      </c>
      <c r="CQ35" s="156">
        <f t="shared" si="47"/>
        <v>6.1626951520131468E-4</v>
      </c>
      <c r="CR35" s="105">
        <v>118</v>
      </c>
      <c r="CS35" s="105">
        <v>0</v>
      </c>
      <c r="CT35" s="106">
        <f t="shared" si="48"/>
        <v>0</v>
      </c>
      <c r="CU35" s="106">
        <f t="shared" si="49"/>
        <v>0</v>
      </c>
      <c r="CV35" s="113">
        <v>268</v>
      </c>
      <c r="CW35" s="113">
        <v>17</v>
      </c>
      <c r="CX35" s="156">
        <f t="shared" si="50"/>
        <v>6.3432835820895525E-2</v>
      </c>
      <c r="CY35" s="156">
        <f t="shared" si="51"/>
        <v>3.4921939194741168E-3</v>
      </c>
      <c r="CZ35" s="113">
        <v>883</v>
      </c>
      <c r="DA35" s="113">
        <v>40</v>
      </c>
      <c r="DB35" s="156">
        <f t="shared" si="52"/>
        <v>4.5300113250283124E-2</v>
      </c>
      <c r="DC35" s="156">
        <f t="shared" si="89"/>
        <v>8.2169268693508633E-3</v>
      </c>
      <c r="DD35" s="107">
        <v>2209</v>
      </c>
      <c r="DE35" s="107">
        <v>166</v>
      </c>
      <c r="DF35" s="107">
        <v>1078</v>
      </c>
      <c r="DG35" s="107">
        <v>581</v>
      </c>
      <c r="DH35" s="107">
        <v>384</v>
      </c>
      <c r="DI35" s="149">
        <f t="shared" si="53"/>
        <v>7.5147125396106837E-2</v>
      </c>
      <c r="DJ35" s="149">
        <f t="shared" si="54"/>
        <v>0.48800362154821186</v>
      </c>
      <c r="DK35" s="149">
        <f t="shared" si="55"/>
        <v>0.43684925305568129</v>
      </c>
      <c r="DL35" s="107">
        <v>2373</v>
      </c>
      <c r="DM35" s="107">
        <v>203</v>
      </c>
      <c r="DN35" s="107">
        <v>1068</v>
      </c>
      <c r="DO35" s="107">
        <v>521</v>
      </c>
      <c r="DP35" s="107">
        <v>581</v>
      </c>
      <c r="DQ35" s="149">
        <f t="shared" si="56"/>
        <v>8.5545722713864306E-2</v>
      </c>
      <c r="DR35" s="149">
        <f t="shared" si="57"/>
        <v>0.45006321112515801</v>
      </c>
      <c r="DS35" s="149">
        <f t="shared" si="58"/>
        <v>0.46439106616097764</v>
      </c>
      <c r="DT35" s="107">
        <f t="shared" si="59"/>
        <v>4582</v>
      </c>
      <c r="DU35" s="107">
        <f t="shared" si="60"/>
        <v>369</v>
      </c>
      <c r="DV35" s="107">
        <f t="shared" si="61"/>
        <v>2146</v>
      </c>
      <c r="DW35" s="107">
        <f t="shared" si="62"/>
        <v>1102</v>
      </c>
      <c r="DX35" s="107">
        <f t="shared" si="63"/>
        <v>965</v>
      </c>
      <c r="DY35" s="108">
        <f t="shared" si="64"/>
        <v>8.0532518550851154E-2</v>
      </c>
      <c r="DZ35" s="108">
        <f t="shared" si="65"/>
        <v>0.46835443037974683</v>
      </c>
      <c r="EA35" s="108">
        <f t="shared" si="66"/>
        <v>0.45111305106940203</v>
      </c>
      <c r="EB35" s="107">
        <v>2893</v>
      </c>
      <c r="EC35" s="110">
        <v>300</v>
      </c>
      <c r="ED35" s="108">
        <f t="shared" si="67"/>
        <v>0.10369858278603526</v>
      </c>
      <c r="EE35" s="107">
        <v>511</v>
      </c>
      <c r="EF35" s="108">
        <f t="shared" si="67"/>
        <v>0.17663325267888005</v>
      </c>
      <c r="EG35" s="107">
        <v>764</v>
      </c>
      <c r="EH35" s="108">
        <f t="shared" ref="EH35" si="293">EG35/$EB35</f>
        <v>0.26408572416176979</v>
      </c>
      <c r="EI35" s="107">
        <v>1213</v>
      </c>
      <c r="EJ35" s="108">
        <f t="shared" ref="EJ35" si="294">EI35/$EB35</f>
        <v>0.41928793639820255</v>
      </c>
      <c r="EK35" s="107">
        <v>1909</v>
      </c>
      <c r="EL35" s="108">
        <f t="shared" ref="EL35" si="295">EK35/$EB35</f>
        <v>0.65986864846180437</v>
      </c>
      <c r="EM35" s="107">
        <v>2251</v>
      </c>
      <c r="EN35" s="108">
        <f t="shared" ref="EN35" si="296">EM35/$EB35</f>
        <v>0.77808503283788455</v>
      </c>
      <c r="EO35" s="163">
        <v>82725</v>
      </c>
      <c r="EP35" s="163">
        <v>78295</v>
      </c>
      <c r="EQ35" s="163">
        <v>101205</v>
      </c>
      <c r="ER35" s="163">
        <v>96295</v>
      </c>
      <c r="ES35" s="163">
        <v>57052</v>
      </c>
      <c r="ET35" s="107">
        <v>2181</v>
      </c>
      <c r="EU35" s="107">
        <v>143</v>
      </c>
      <c r="EV35" s="108">
        <f t="shared" si="72"/>
        <v>6.5566254011921135E-2</v>
      </c>
      <c r="EW35" s="107">
        <v>2325</v>
      </c>
      <c r="EX35" s="107">
        <v>261</v>
      </c>
      <c r="EY35" s="108">
        <f t="shared" si="73"/>
        <v>0.11225806451612903</v>
      </c>
      <c r="EZ35" s="107">
        <f t="shared" si="74"/>
        <v>4506</v>
      </c>
      <c r="FA35" s="107">
        <f t="shared" si="75"/>
        <v>404</v>
      </c>
      <c r="FB35" s="108">
        <f t="shared" si="76"/>
        <v>8.9658233466489129E-2</v>
      </c>
      <c r="FC35" s="107">
        <v>4506</v>
      </c>
      <c r="FD35" s="107">
        <v>404</v>
      </c>
      <c r="FE35" s="108">
        <f t="shared" si="77"/>
        <v>8.9658233466489129E-2</v>
      </c>
      <c r="FF35" s="107">
        <v>696</v>
      </c>
      <c r="FG35" s="108">
        <f t="shared" si="77"/>
        <v>0.15446071904127828</v>
      </c>
      <c r="FH35" s="107">
        <v>878</v>
      </c>
      <c r="FI35" s="108">
        <f t="shared" ref="FI35" si="297">FH35/$FC35</f>
        <v>0.19485130936529071</v>
      </c>
      <c r="FJ35" s="107">
        <v>946</v>
      </c>
      <c r="FK35" s="108">
        <f t="shared" ref="FK35" si="298">FJ35/$FC35</f>
        <v>0.20994229915667997</v>
      </c>
      <c r="FL35" s="107">
        <v>1794</v>
      </c>
      <c r="FM35" s="108">
        <f t="shared" ref="FM35" si="299">FL35/$FC35</f>
        <v>0.3981358189081225</v>
      </c>
      <c r="FN35" s="107">
        <v>385</v>
      </c>
      <c r="FO35" s="108">
        <v>0.28122717311906503</v>
      </c>
      <c r="FP35" s="107">
        <v>5</v>
      </c>
      <c r="FQ35" s="108">
        <v>3.6523009495982471E-3</v>
      </c>
      <c r="FR35" s="107">
        <v>75</v>
      </c>
      <c r="FS35" s="108">
        <v>8.9285714285714288E-2</v>
      </c>
      <c r="FT35" s="110">
        <v>0</v>
      </c>
      <c r="FU35" s="108">
        <v>0</v>
      </c>
      <c r="FV35" s="107">
        <v>278</v>
      </c>
      <c r="FW35" s="108">
        <v>0.21718750000000001</v>
      </c>
      <c r="FX35" s="107">
        <v>2</v>
      </c>
      <c r="FY35" s="108">
        <v>1.5625000000000001E-3</v>
      </c>
      <c r="FZ35" s="107">
        <v>50</v>
      </c>
      <c r="GA35" s="108">
        <v>4.5745654162854532E-2</v>
      </c>
      <c r="GB35" s="107">
        <v>0</v>
      </c>
      <c r="GC35" s="108">
        <v>0</v>
      </c>
      <c r="GD35" s="107">
        <v>788</v>
      </c>
      <c r="GE35" s="117">
        <v>0.1719773024879965</v>
      </c>
      <c r="GF35" s="107">
        <v>7</v>
      </c>
      <c r="GG35" s="117">
        <v>1.5277171540811873E-3</v>
      </c>
      <c r="GH35" s="107">
        <v>2893</v>
      </c>
      <c r="GI35" s="107">
        <v>293</v>
      </c>
      <c r="GJ35" s="108">
        <f t="shared" si="81"/>
        <v>0.10127894918769444</v>
      </c>
      <c r="GK35" s="107">
        <v>107</v>
      </c>
      <c r="GL35" s="108">
        <f t="shared" si="82"/>
        <v>0.3651877133105802</v>
      </c>
      <c r="GM35" s="107">
        <v>90</v>
      </c>
      <c r="GN35" s="108">
        <f t="shared" si="83"/>
        <v>0.30716723549488056</v>
      </c>
      <c r="GO35" s="107">
        <v>2600</v>
      </c>
      <c r="GP35" s="108">
        <f t="shared" si="84"/>
        <v>0.89872105081230558</v>
      </c>
      <c r="GQ35" s="107">
        <v>2053</v>
      </c>
      <c r="GR35" s="108">
        <f t="shared" si="85"/>
        <v>0.78961538461538461</v>
      </c>
      <c r="GS35" s="107">
        <v>542</v>
      </c>
      <c r="GT35" s="108">
        <f t="shared" si="86"/>
        <v>0.20846153846153845</v>
      </c>
    </row>
    <row r="36" spans="1:202" x14ac:dyDescent="0.25">
      <c r="A36" s="104" t="s">
        <v>208</v>
      </c>
      <c r="B36" s="143">
        <v>120488</v>
      </c>
      <c r="C36" s="143">
        <v>29225</v>
      </c>
      <c r="D36" s="143">
        <v>21784</v>
      </c>
      <c r="E36" s="143">
        <v>8889</v>
      </c>
      <c r="F36" s="143">
        <v>2937</v>
      </c>
      <c r="G36" s="144">
        <f t="shared" si="2"/>
        <v>0.2425552752141292</v>
      </c>
      <c r="H36" s="144">
        <f t="shared" si="3"/>
        <v>0.18079808777637607</v>
      </c>
      <c r="I36" s="144">
        <f t="shared" si="4"/>
        <v>7.3774981740920259E-2</v>
      </c>
      <c r="J36" s="144">
        <f t="shared" si="5"/>
        <v>2.4375871456078613E-2</v>
      </c>
      <c r="K36" s="143">
        <v>9937</v>
      </c>
      <c r="L36" s="145">
        <f t="shared" si="6"/>
        <v>0.45616048475945647</v>
      </c>
      <c r="M36" s="143">
        <v>11847</v>
      </c>
      <c r="N36" s="145">
        <f t="shared" si="7"/>
        <v>0.54383951524054353</v>
      </c>
      <c r="O36" s="148">
        <v>37.5</v>
      </c>
      <c r="P36" s="107">
        <v>51497</v>
      </c>
      <c r="Q36" s="107">
        <v>19611</v>
      </c>
      <c r="R36" s="108">
        <f t="shared" si="8"/>
        <v>0.38081830009515116</v>
      </c>
      <c r="S36" s="107">
        <v>15300</v>
      </c>
      <c r="T36" s="149">
        <f t="shared" si="9"/>
        <v>0.29710468570984716</v>
      </c>
      <c r="U36" s="143">
        <v>9937</v>
      </c>
      <c r="V36" s="107">
        <v>697</v>
      </c>
      <c r="W36" s="108">
        <f t="shared" si="10"/>
        <v>7.0141893931770158E-2</v>
      </c>
      <c r="X36" s="107">
        <v>6921</v>
      </c>
      <c r="Y36" s="150">
        <f t="shared" si="11"/>
        <v>0.69648787360370334</v>
      </c>
      <c r="Z36" s="107">
        <v>219</v>
      </c>
      <c r="AA36" s="108">
        <f t="shared" si="12"/>
        <v>2.2038844721747008E-2</v>
      </c>
      <c r="AB36" s="107">
        <v>927</v>
      </c>
      <c r="AC36" s="108">
        <f t="shared" si="13"/>
        <v>9.3287712589312663E-2</v>
      </c>
      <c r="AD36" s="107">
        <v>1173</v>
      </c>
      <c r="AE36" s="108">
        <f t="shared" si="14"/>
        <v>0.11804367515346684</v>
      </c>
      <c r="AF36" s="107">
        <v>11847</v>
      </c>
      <c r="AG36" s="107">
        <v>825</v>
      </c>
      <c r="AH36" s="108">
        <f t="shared" si="15"/>
        <v>6.9637883008356549E-2</v>
      </c>
      <c r="AI36" s="107">
        <v>5146</v>
      </c>
      <c r="AJ36" s="108">
        <f t="shared" si="16"/>
        <v>0.43437157086182154</v>
      </c>
      <c r="AK36" s="107">
        <v>222</v>
      </c>
      <c r="AL36" s="108">
        <f t="shared" si="17"/>
        <v>1.8738921245885033E-2</v>
      </c>
      <c r="AM36" s="107">
        <v>3741</v>
      </c>
      <c r="AN36" s="108">
        <f t="shared" si="18"/>
        <v>0.31577614585971131</v>
      </c>
      <c r="AO36" s="107">
        <v>1913</v>
      </c>
      <c r="AP36" s="108">
        <f t="shared" si="19"/>
        <v>0.16147547902422554</v>
      </c>
      <c r="AQ36" s="107">
        <f t="shared" si="20"/>
        <v>21784</v>
      </c>
      <c r="AR36" s="107">
        <f t="shared" si="21"/>
        <v>1522</v>
      </c>
      <c r="AS36" s="108">
        <f t="shared" si="22"/>
        <v>6.9867792875504958E-2</v>
      </c>
      <c r="AT36" s="107">
        <f t="shared" si="23"/>
        <v>12067</v>
      </c>
      <c r="AU36" s="108">
        <f t="shared" si="24"/>
        <v>0.55393867058391477</v>
      </c>
      <c r="AV36" s="107">
        <f t="shared" si="25"/>
        <v>441</v>
      </c>
      <c r="AW36" s="108">
        <f t="shared" si="26"/>
        <v>2.0244215938303341E-2</v>
      </c>
      <c r="AX36" s="107">
        <f t="shared" si="27"/>
        <v>4668</v>
      </c>
      <c r="AY36" s="108">
        <f t="shared" si="28"/>
        <v>0.21428571428571427</v>
      </c>
      <c r="AZ36" s="107">
        <f t="shared" si="29"/>
        <v>3086</v>
      </c>
      <c r="BA36" s="108">
        <f t="shared" si="30"/>
        <v>0.14166360631656261</v>
      </c>
      <c r="BB36" s="111">
        <v>9756</v>
      </c>
      <c r="BC36" s="111">
        <v>3143</v>
      </c>
      <c r="BD36" s="152">
        <f t="shared" si="31"/>
        <v>0.32216072160721609</v>
      </c>
      <c r="BE36" s="111">
        <v>11485</v>
      </c>
      <c r="BF36" s="111">
        <v>3661</v>
      </c>
      <c r="BG36" s="152">
        <f t="shared" si="0"/>
        <v>0.31876360470178494</v>
      </c>
      <c r="BH36" s="153">
        <f t="shared" si="32"/>
        <v>21241</v>
      </c>
      <c r="BI36" s="153">
        <f t="shared" si="33"/>
        <v>6804</v>
      </c>
      <c r="BJ36" s="154">
        <f t="shared" si="34"/>
        <v>0.32032390188785836</v>
      </c>
      <c r="BK36" s="107">
        <v>21784</v>
      </c>
      <c r="BL36" s="107">
        <v>6360</v>
      </c>
      <c r="BM36" s="108">
        <f t="shared" si="87"/>
        <v>0.29195739992655162</v>
      </c>
      <c r="BN36" s="107">
        <v>9937</v>
      </c>
      <c r="BO36" s="107">
        <v>1964</v>
      </c>
      <c r="BP36" s="108">
        <f t="shared" si="35"/>
        <v>0.19764516453658046</v>
      </c>
      <c r="BQ36" s="107">
        <v>11847</v>
      </c>
      <c r="BR36" s="107">
        <v>4396</v>
      </c>
      <c r="BS36" s="108">
        <f t="shared" si="36"/>
        <v>0.37106440449058836</v>
      </c>
      <c r="BT36" s="113">
        <v>121060</v>
      </c>
      <c r="BU36" s="113">
        <v>23130</v>
      </c>
      <c r="BV36" s="156">
        <f t="shared" si="37"/>
        <v>0.19106228316537255</v>
      </c>
      <c r="BW36" s="156">
        <f t="shared" si="38"/>
        <v>1</v>
      </c>
      <c r="BX36" s="113">
        <v>106273</v>
      </c>
      <c r="BY36" s="113">
        <v>22319</v>
      </c>
      <c r="BZ36" s="156">
        <f t="shared" si="39"/>
        <v>0.21001571424538687</v>
      </c>
      <c r="CA36" s="156">
        <f t="shared" si="40"/>
        <v>0.96493731085170775</v>
      </c>
      <c r="CB36" s="113">
        <v>2087</v>
      </c>
      <c r="CC36" s="113">
        <v>112</v>
      </c>
      <c r="CD36" s="156">
        <f t="shared" si="41"/>
        <v>5.3665548634403447E-2</v>
      </c>
      <c r="CE36" s="156">
        <f t="shared" si="88"/>
        <v>4.842196281884998E-3</v>
      </c>
      <c r="CF36" s="113">
        <v>443</v>
      </c>
      <c r="CG36" s="113">
        <v>71</v>
      </c>
      <c r="CH36" s="156">
        <f t="shared" si="42"/>
        <v>0.16027088036117382</v>
      </c>
      <c r="CI36" s="156">
        <f t="shared" si="43"/>
        <v>3.0696065715520968E-3</v>
      </c>
      <c r="CJ36" s="113">
        <v>6078</v>
      </c>
      <c r="CK36" s="113">
        <v>351</v>
      </c>
      <c r="CL36" s="161">
        <f t="shared" si="44"/>
        <v>5.7749259624876606E-2</v>
      </c>
      <c r="CM36" s="156">
        <f t="shared" si="45"/>
        <v>1.5175097276264591E-2</v>
      </c>
      <c r="CN36" s="113">
        <v>59</v>
      </c>
      <c r="CO36" s="113">
        <v>11</v>
      </c>
      <c r="CP36" s="161">
        <f t="shared" si="46"/>
        <v>0.1864406779661017</v>
      </c>
      <c r="CQ36" s="156">
        <f t="shared" si="47"/>
        <v>4.7557284911370514E-4</v>
      </c>
      <c r="CR36" s="105">
        <v>619</v>
      </c>
      <c r="CS36" s="105">
        <v>4</v>
      </c>
      <c r="CT36" s="106">
        <f t="shared" si="48"/>
        <v>6.462035541195477E-3</v>
      </c>
      <c r="CU36" s="106">
        <f t="shared" si="49"/>
        <v>1.7293558149589279E-4</v>
      </c>
      <c r="CV36" s="113">
        <v>2609</v>
      </c>
      <c r="CW36" s="113">
        <v>88</v>
      </c>
      <c r="CX36" s="156">
        <f t="shared" si="50"/>
        <v>3.3729398236872363E-2</v>
      </c>
      <c r="CY36" s="156">
        <f t="shared" si="51"/>
        <v>3.8045827929096411E-3</v>
      </c>
      <c r="CZ36" s="113">
        <v>3511</v>
      </c>
      <c r="DA36" s="113">
        <v>178</v>
      </c>
      <c r="DB36" s="156">
        <f t="shared" si="52"/>
        <v>5.0697806892623182E-2</v>
      </c>
      <c r="DC36" s="156">
        <f t="shared" si="89"/>
        <v>7.6956333765672291E-3</v>
      </c>
      <c r="DD36" s="107">
        <v>9937</v>
      </c>
      <c r="DE36" s="107">
        <v>683</v>
      </c>
      <c r="DF36" s="107">
        <v>3093</v>
      </c>
      <c r="DG36" s="107">
        <v>2910</v>
      </c>
      <c r="DH36" s="107">
        <v>3251</v>
      </c>
      <c r="DI36" s="149">
        <f t="shared" si="53"/>
        <v>6.8733018013484956E-2</v>
      </c>
      <c r="DJ36" s="149">
        <f t="shared" si="54"/>
        <v>0.31126094394686527</v>
      </c>
      <c r="DK36" s="149">
        <f t="shared" si="55"/>
        <v>0.62000603803964982</v>
      </c>
      <c r="DL36" s="107">
        <v>11847</v>
      </c>
      <c r="DM36" s="107">
        <v>473</v>
      </c>
      <c r="DN36" s="107">
        <v>3992</v>
      </c>
      <c r="DO36" s="107">
        <v>3892</v>
      </c>
      <c r="DP36" s="107">
        <v>3490</v>
      </c>
      <c r="DQ36" s="149">
        <f t="shared" si="56"/>
        <v>3.9925719591457756E-2</v>
      </c>
      <c r="DR36" s="149">
        <f t="shared" si="57"/>
        <v>0.33696294420528405</v>
      </c>
      <c r="DS36" s="149">
        <f t="shared" si="58"/>
        <v>0.6231113362032582</v>
      </c>
      <c r="DT36" s="107">
        <f t="shared" si="59"/>
        <v>21784</v>
      </c>
      <c r="DU36" s="107">
        <f t="shared" si="60"/>
        <v>1156</v>
      </c>
      <c r="DV36" s="107">
        <f t="shared" si="61"/>
        <v>7085</v>
      </c>
      <c r="DW36" s="107">
        <f t="shared" si="62"/>
        <v>6802</v>
      </c>
      <c r="DX36" s="107">
        <f t="shared" si="63"/>
        <v>6741</v>
      </c>
      <c r="DY36" s="108">
        <f t="shared" si="64"/>
        <v>5.306647080426001E-2</v>
      </c>
      <c r="DZ36" s="108">
        <f t="shared" si="65"/>
        <v>0.32523870730811605</v>
      </c>
      <c r="EA36" s="108">
        <f t="shared" si="66"/>
        <v>0.62169482188762393</v>
      </c>
      <c r="EB36" s="107">
        <v>13725</v>
      </c>
      <c r="EC36" s="110">
        <v>1244</v>
      </c>
      <c r="ED36" s="108">
        <f t="shared" si="67"/>
        <v>9.0637522768670306E-2</v>
      </c>
      <c r="EE36" s="107">
        <v>2663</v>
      </c>
      <c r="EF36" s="108">
        <f t="shared" si="67"/>
        <v>0.1940255009107468</v>
      </c>
      <c r="EG36" s="107">
        <v>4325</v>
      </c>
      <c r="EH36" s="108">
        <f t="shared" ref="EH36" si="300">EG36/$EB36</f>
        <v>0.31511839708561018</v>
      </c>
      <c r="EI36" s="107">
        <v>6074</v>
      </c>
      <c r="EJ36" s="108">
        <f t="shared" ref="EJ36" si="301">EI36/$EB36</f>
        <v>0.44255009107468124</v>
      </c>
      <c r="EK36" s="107">
        <v>8843</v>
      </c>
      <c r="EL36" s="108">
        <f t="shared" ref="EL36" si="302">EK36/$EB36</f>
        <v>0.64429872495446261</v>
      </c>
      <c r="EM36" s="107">
        <v>10635</v>
      </c>
      <c r="EN36" s="108">
        <f t="shared" ref="EN36" si="303">EM36/$EB36</f>
        <v>0.77486338797814203</v>
      </c>
      <c r="EO36" s="163">
        <v>73013</v>
      </c>
      <c r="EP36" s="163">
        <v>40817</v>
      </c>
      <c r="EQ36" s="163">
        <v>83711</v>
      </c>
      <c r="ER36" s="163">
        <v>94236</v>
      </c>
      <c r="ES36" s="163">
        <v>55379</v>
      </c>
      <c r="ET36" s="107">
        <v>9756</v>
      </c>
      <c r="EU36" s="107">
        <v>809</v>
      </c>
      <c r="EV36" s="108">
        <f t="shared" si="72"/>
        <v>8.2923329233292334E-2</v>
      </c>
      <c r="EW36" s="107">
        <v>11485</v>
      </c>
      <c r="EX36" s="107">
        <v>1249</v>
      </c>
      <c r="EY36" s="108">
        <f t="shared" si="73"/>
        <v>0.1087505441880714</v>
      </c>
      <c r="EZ36" s="107">
        <f t="shared" si="74"/>
        <v>21241</v>
      </c>
      <c r="FA36" s="107">
        <f t="shared" si="75"/>
        <v>2058</v>
      </c>
      <c r="FB36" s="108">
        <f t="shared" si="76"/>
        <v>9.688809378089544E-2</v>
      </c>
      <c r="FC36" s="107">
        <v>21241</v>
      </c>
      <c r="FD36" s="107">
        <v>2058</v>
      </c>
      <c r="FE36" s="108">
        <f t="shared" si="77"/>
        <v>9.688809378089544E-2</v>
      </c>
      <c r="FF36" s="107">
        <v>3383</v>
      </c>
      <c r="FG36" s="108">
        <f t="shared" si="77"/>
        <v>0.15926745445129703</v>
      </c>
      <c r="FH36" s="107">
        <v>4906</v>
      </c>
      <c r="FI36" s="108">
        <f t="shared" ref="FI36" si="304">FH36/$FC36</f>
        <v>0.23096841015018124</v>
      </c>
      <c r="FJ36" s="107">
        <v>5771</v>
      </c>
      <c r="FK36" s="108">
        <f t="shared" ref="FK36" si="305">FJ36/$FC36</f>
        <v>0.27169153994633022</v>
      </c>
      <c r="FL36" s="107">
        <v>9113</v>
      </c>
      <c r="FM36" s="108">
        <f t="shared" ref="FM36" si="306">FL36/$FC36</f>
        <v>0.42902876512405252</v>
      </c>
      <c r="FN36" s="107">
        <v>1522</v>
      </c>
      <c r="FO36" s="108">
        <v>0.24580103359173128</v>
      </c>
      <c r="FP36" s="107">
        <v>22</v>
      </c>
      <c r="FQ36" s="108">
        <v>3.5529715762273903E-3</v>
      </c>
      <c r="FR36" s="107">
        <v>321</v>
      </c>
      <c r="FS36" s="108">
        <v>8.5714285714285715E-2</v>
      </c>
      <c r="FT36" s="110">
        <v>11</v>
      </c>
      <c r="FU36" s="108">
        <v>2.9372496662216289E-3</v>
      </c>
      <c r="FV36" s="107">
        <v>1295</v>
      </c>
      <c r="FW36" s="108">
        <v>0.19319707593614799</v>
      </c>
      <c r="FX36" s="107">
        <v>0</v>
      </c>
      <c r="FY36" s="108">
        <v>0</v>
      </c>
      <c r="FZ36" s="107">
        <v>232</v>
      </c>
      <c r="GA36" s="108">
        <v>4.5101088646967338E-2</v>
      </c>
      <c r="GB36" s="107">
        <v>1</v>
      </c>
      <c r="GC36" s="108">
        <v>1.9440124416796267E-4</v>
      </c>
      <c r="GD36" s="107">
        <v>3370</v>
      </c>
      <c r="GE36" s="117">
        <v>0.15470069775982373</v>
      </c>
      <c r="GF36" s="107">
        <v>34</v>
      </c>
      <c r="GG36" s="117">
        <v>1.5607785530664707E-3</v>
      </c>
      <c r="GH36" s="107">
        <v>13725</v>
      </c>
      <c r="GI36" s="107">
        <v>3804</v>
      </c>
      <c r="GJ36" s="108">
        <f t="shared" si="81"/>
        <v>0.2771584699453552</v>
      </c>
      <c r="GK36" s="107">
        <v>1451</v>
      </c>
      <c r="GL36" s="108">
        <f t="shared" si="82"/>
        <v>0.38144058885383808</v>
      </c>
      <c r="GM36" s="107">
        <v>2129</v>
      </c>
      <c r="GN36" s="108">
        <f t="shared" si="83"/>
        <v>0.55967402733964244</v>
      </c>
      <c r="GO36" s="107">
        <v>9921</v>
      </c>
      <c r="GP36" s="108">
        <f t="shared" si="84"/>
        <v>0.7228415300546448</v>
      </c>
      <c r="GQ36" s="107">
        <v>7462</v>
      </c>
      <c r="GR36" s="108">
        <f t="shared" si="85"/>
        <v>0.75214192117730072</v>
      </c>
      <c r="GS36" s="107">
        <v>2371</v>
      </c>
      <c r="GT36" s="108">
        <f t="shared" si="86"/>
        <v>0.23898800524140712</v>
      </c>
    </row>
    <row r="37" spans="1:202" x14ac:dyDescent="0.25">
      <c r="A37" s="104" t="s">
        <v>209</v>
      </c>
      <c r="B37" s="143">
        <v>16942</v>
      </c>
      <c r="C37" s="143">
        <v>4746</v>
      </c>
      <c r="D37" s="143">
        <v>3450</v>
      </c>
      <c r="E37" s="143">
        <v>1402</v>
      </c>
      <c r="F37" s="143">
        <v>426</v>
      </c>
      <c r="G37" s="144">
        <f t="shared" si="2"/>
        <v>0.28013221579506553</v>
      </c>
      <c r="H37" s="144">
        <f t="shared" si="3"/>
        <v>0.20363593436430175</v>
      </c>
      <c r="I37" s="144">
        <f t="shared" si="4"/>
        <v>8.2752921732971316E-2</v>
      </c>
      <c r="J37" s="144">
        <f t="shared" si="5"/>
        <v>2.5144611025852911E-2</v>
      </c>
      <c r="K37" s="143">
        <v>1677</v>
      </c>
      <c r="L37" s="145">
        <f t="shared" si="6"/>
        <v>0.48608695652173911</v>
      </c>
      <c r="M37" s="143">
        <v>1773</v>
      </c>
      <c r="N37" s="145">
        <f t="shared" si="7"/>
        <v>0.51391304347826083</v>
      </c>
      <c r="O37" s="148">
        <v>40.799999999999997</v>
      </c>
      <c r="P37" s="107">
        <v>6763</v>
      </c>
      <c r="Q37" s="107">
        <v>3209</v>
      </c>
      <c r="R37" s="108">
        <f t="shared" si="8"/>
        <v>0.47449356794322045</v>
      </c>
      <c r="S37" s="107">
        <v>2487</v>
      </c>
      <c r="T37" s="149">
        <f t="shared" si="9"/>
        <v>0.36773621174035193</v>
      </c>
      <c r="U37" s="143">
        <v>1677</v>
      </c>
      <c r="V37" s="107">
        <v>107</v>
      </c>
      <c r="W37" s="108">
        <f t="shared" si="10"/>
        <v>6.3804412641621941E-2</v>
      </c>
      <c r="X37" s="107">
        <v>1081</v>
      </c>
      <c r="Y37" s="150">
        <f t="shared" si="11"/>
        <v>0.6446034585569469</v>
      </c>
      <c r="Z37" s="107">
        <v>28</v>
      </c>
      <c r="AA37" s="108">
        <f t="shared" si="12"/>
        <v>1.6696481812760882E-2</v>
      </c>
      <c r="AB37" s="107">
        <v>223</v>
      </c>
      <c r="AC37" s="108">
        <f t="shared" si="13"/>
        <v>0.13297555158020274</v>
      </c>
      <c r="AD37" s="107">
        <v>238</v>
      </c>
      <c r="AE37" s="108">
        <f t="shared" si="14"/>
        <v>0.14192009540846751</v>
      </c>
      <c r="AF37" s="107">
        <v>1773</v>
      </c>
      <c r="AG37" s="107">
        <v>60</v>
      </c>
      <c r="AH37" s="108">
        <f t="shared" si="15"/>
        <v>3.3840947546531303E-2</v>
      </c>
      <c r="AI37" s="107">
        <v>914</v>
      </c>
      <c r="AJ37" s="108">
        <f t="shared" si="16"/>
        <v>0.51551043429216015</v>
      </c>
      <c r="AK37" s="107">
        <v>47</v>
      </c>
      <c r="AL37" s="108">
        <f t="shared" si="17"/>
        <v>2.6508742244782856E-2</v>
      </c>
      <c r="AM37" s="107">
        <v>545</v>
      </c>
      <c r="AN37" s="108">
        <f t="shared" si="18"/>
        <v>0.30738860688099268</v>
      </c>
      <c r="AO37" s="107">
        <v>207</v>
      </c>
      <c r="AP37" s="108">
        <f t="shared" si="19"/>
        <v>0.116751269035533</v>
      </c>
      <c r="AQ37" s="107">
        <f t="shared" si="20"/>
        <v>3450</v>
      </c>
      <c r="AR37" s="107">
        <f t="shared" si="21"/>
        <v>167</v>
      </c>
      <c r="AS37" s="108">
        <f t="shared" si="22"/>
        <v>4.8405797101449273E-2</v>
      </c>
      <c r="AT37" s="107">
        <f t="shared" si="23"/>
        <v>1995</v>
      </c>
      <c r="AU37" s="108">
        <f t="shared" si="24"/>
        <v>0.57826086956521738</v>
      </c>
      <c r="AV37" s="107">
        <f t="shared" si="25"/>
        <v>75</v>
      </c>
      <c r="AW37" s="108">
        <f t="shared" si="26"/>
        <v>2.1739130434782608E-2</v>
      </c>
      <c r="AX37" s="107">
        <f t="shared" si="27"/>
        <v>768</v>
      </c>
      <c r="AY37" s="108">
        <f t="shared" si="28"/>
        <v>0.22260869565217392</v>
      </c>
      <c r="AZ37" s="107">
        <f t="shared" si="29"/>
        <v>445</v>
      </c>
      <c r="BA37" s="108">
        <f t="shared" si="30"/>
        <v>0.12898550724637681</v>
      </c>
      <c r="BB37" s="111">
        <v>1655</v>
      </c>
      <c r="BC37" s="111">
        <v>424</v>
      </c>
      <c r="BD37" s="152">
        <f t="shared" si="31"/>
        <v>0.25619335347432026</v>
      </c>
      <c r="BE37" s="111">
        <v>1758</v>
      </c>
      <c r="BF37" s="111">
        <v>528</v>
      </c>
      <c r="BG37" s="152">
        <f t="shared" si="0"/>
        <v>0.30034129692832767</v>
      </c>
      <c r="BH37" s="153">
        <f t="shared" si="32"/>
        <v>3413</v>
      </c>
      <c r="BI37" s="153">
        <f t="shared" si="33"/>
        <v>952</v>
      </c>
      <c r="BJ37" s="154">
        <f t="shared" si="34"/>
        <v>0.2789334895985936</v>
      </c>
      <c r="BK37" s="107">
        <v>3450</v>
      </c>
      <c r="BL37" s="107">
        <v>1112</v>
      </c>
      <c r="BM37" s="108">
        <f t="shared" si="87"/>
        <v>0.32231884057971016</v>
      </c>
      <c r="BN37" s="107">
        <v>1677</v>
      </c>
      <c r="BO37" s="107">
        <v>460</v>
      </c>
      <c r="BP37" s="108">
        <f t="shared" si="35"/>
        <v>0.27429934406678591</v>
      </c>
      <c r="BQ37" s="107">
        <v>1773</v>
      </c>
      <c r="BR37" s="107">
        <v>652</v>
      </c>
      <c r="BS37" s="108">
        <f t="shared" si="36"/>
        <v>0.36773829667230684</v>
      </c>
      <c r="BT37" s="113">
        <v>17306</v>
      </c>
      <c r="BU37" s="113">
        <v>3667</v>
      </c>
      <c r="BV37" s="156">
        <f t="shared" si="37"/>
        <v>0.21189182942332138</v>
      </c>
      <c r="BW37" s="156">
        <f t="shared" si="38"/>
        <v>1</v>
      </c>
      <c r="BX37" s="113">
        <v>15456</v>
      </c>
      <c r="BY37" s="113">
        <v>3593</v>
      </c>
      <c r="BZ37" s="156">
        <f t="shared" si="39"/>
        <v>0.23246635610766045</v>
      </c>
      <c r="CA37" s="156">
        <f t="shared" si="40"/>
        <v>0.97982001636214888</v>
      </c>
      <c r="CB37" s="113">
        <v>105</v>
      </c>
      <c r="CC37" s="113">
        <v>5</v>
      </c>
      <c r="CD37" s="156">
        <f t="shared" si="41"/>
        <v>4.7619047619047616E-2</v>
      </c>
      <c r="CE37" s="156">
        <f t="shared" si="88"/>
        <v>1.3635124079629125E-3</v>
      </c>
      <c r="CF37" s="113">
        <v>53</v>
      </c>
      <c r="CG37" s="113">
        <v>4</v>
      </c>
      <c r="CH37" s="156">
        <f t="shared" si="42"/>
        <v>7.5471698113207544E-2</v>
      </c>
      <c r="CI37" s="156">
        <f t="shared" si="43"/>
        <v>1.0908099263703299E-3</v>
      </c>
      <c r="CJ37" s="113">
        <v>98</v>
      </c>
      <c r="CK37" s="113">
        <v>8</v>
      </c>
      <c r="CL37" s="161">
        <f t="shared" si="44"/>
        <v>8.1632653061224483E-2</v>
      </c>
      <c r="CM37" s="156">
        <f t="shared" si="45"/>
        <v>2.1816198527406599E-3</v>
      </c>
      <c r="CN37" s="113">
        <v>0</v>
      </c>
      <c r="CO37" s="113">
        <v>0</v>
      </c>
      <c r="CP37" s="161">
        <v>0</v>
      </c>
      <c r="CQ37" s="156">
        <f t="shared" si="47"/>
        <v>0</v>
      </c>
      <c r="CR37" s="105">
        <v>284</v>
      </c>
      <c r="CS37" s="105">
        <v>13</v>
      </c>
      <c r="CT37" s="106">
        <f t="shared" si="48"/>
        <v>4.5774647887323945E-2</v>
      </c>
      <c r="CU37" s="106">
        <f t="shared" si="49"/>
        <v>3.5451322607035723E-3</v>
      </c>
      <c r="CV37" s="113">
        <v>158</v>
      </c>
      <c r="CW37" s="113">
        <v>17</v>
      </c>
      <c r="CX37" s="156">
        <f t="shared" si="50"/>
        <v>0.10759493670886076</v>
      </c>
      <c r="CY37" s="156">
        <f t="shared" si="51"/>
        <v>4.635942187073902E-3</v>
      </c>
      <c r="CZ37" s="113">
        <v>1436</v>
      </c>
      <c r="DA37" s="113">
        <v>40</v>
      </c>
      <c r="DB37" s="156">
        <f t="shared" si="52"/>
        <v>2.7855153203342618E-2</v>
      </c>
      <c r="DC37" s="156">
        <f t="shared" si="89"/>
        <v>1.09080992637033E-2</v>
      </c>
      <c r="DD37" s="107">
        <v>1677</v>
      </c>
      <c r="DE37" s="107">
        <v>124</v>
      </c>
      <c r="DF37" s="107">
        <v>859</v>
      </c>
      <c r="DG37" s="107">
        <v>410</v>
      </c>
      <c r="DH37" s="107">
        <v>284</v>
      </c>
      <c r="DI37" s="149">
        <f t="shared" si="53"/>
        <v>7.394156231365534E-2</v>
      </c>
      <c r="DJ37" s="149">
        <f t="shared" si="54"/>
        <v>0.51222420989862849</v>
      </c>
      <c r="DK37" s="149">
        <f t="shared" si="55"/>
        <v>0.41383422778771617</v>
      </c>
      <c r="DL37" s="107">
        <v>1773</v>
      </c>
      <c r="DM37" s="107">
        <v>148</v>
      </c>
      <c r="DN37" s="107">
        <v>879</v>
      </c>
      <c r="DO37" s="107">
        <v>463</v>
      </c>
      <c r="DP37" s="107">
        <v>283</v>
      </c>
      <c r="DQ37" s="149">
        <f t="shared" si="56"/>
        <v>8.3474337281443878E-2</v>
      </c>
      <c r="DR37" s="149">
        <f t="shared" si="57"/>
        <v>0.49576988155668361</v>
      </c>
      <c r="DS37" s="149">
        <f t="shared" si="58"/>
        <v>0.42075578116187251</v>
      </c>
      <c r="DT37" s="107">
        <f t="shared" si="59"/>
        <v>3450</v>
      </c>
      <c r="DU37" s="107">
        <f t="shared" si="60"/>
        <v>272</v>
      </c>
      <c r="DV37" s="107">
        <f t="shared" si="61"/>
        <v>1738</v>
      </c>
      <c r="DW37" s="107">
        <f t="shared" si="62"/>
        <v>873</v>
      </c>
      <c r="DX37" s="107">
        <f t="shared" si="63"/>
        <v>567</v>
      </c>
      <c r="DY37" s="108">
        <f t="shared" si="64"/>
        <v>7.8840579710144923E-2</v>
      </c>
      <c r="DZ37" s="108">
        <f t="shared" si="65"/>
        <v>0.50376811594202897</v>
      </c>
      <c r="EA37" s="108">
        <f t="shared" si="66"/>
        <v>0.41739130434782606</v>
      </c>
      <c r="EB37" s="107">
        <v>2286</v>
      </c>
      <c r="EC37" s="110">
        <v>249</v>
      </c>
      <c r="ED37" s="108">
        <f t="shared" si="67"/>
        <v>0.1089238845144357</v>
      </c>
      <c r="EE37" s="107">
        <v>497</v>
      </c>
      <c r="EF37" s="108">
        <f t="shared" si="67"/>
        <v>0.21741032370953631</v>
      </c>
      <c r="EG37" s="107">
        <v>889</v>
      </c>
      <c r="EH37" s="108">
        <f t="shared" ref="EH37" si="307">EG37/$EB37</f>
        <v>0.3888888888888889</v>
      </c>
      <c r="EI37" s="107">
        <v>1200</v>
      </c>
      <c r="EJ37" s="108">
        <f t="shared" ref="EJ37" si="308">EI37/$EB37</f>
        <v>0.52493438320209973</v>
      </c>
      <c r="EK37" s="107">
        <v>1605</v>
      </c>
      <c r="EL37" s="108">
        <f t="shared" ref="EL37" si="309">EK37/$EB37</f>
        <v>0.70209973753280841</v>
      </c>
      <c r="EM37" s="107">
        <v>1929</v>
      </c>
      <c r="EN37" s="108">
        <f t="shared" ref="EN37" si="310">EM37/$EB37</f>
        <v>0.84383202099737531</v>
      </c>
      <c r="EO37" s="163">
        <v>76462</v>
      </c>
      <c r="EP37" s="163">
        <v>66389</v>
      </c>
      <c r="EQ37" s="163">
        <v>98081</v>
      </c>
      <c r="ER37" s="163">
        <v>93341</v>
      </c>
      <c r="ES37" s="163">
        <v>47361</v>
      </c>
      <c r="ET37" s="107">
        <v>1655</v>
      </c>
      <c r="EU37" s="107">
        <v>137</v>
      </c>
      <c r="EV37" s="108">
        <f t="shared" si="72"/>
        <v>8.2779456193353473E-2</v>
      </c>
      <c r="EW37" s="107">
        <v>1758</v>
      </c>
      <c r="EX37" s="107">
        <v>208</v>
      </c>
      <c r="EY37" s="108">
        <f t="shared" si="73"/>
        <v>0.11831626848691695</v>
      </c>
      <c r="EZ37" s="107">
        <f t="shared" si="74"/>
        <v>3413</v>
      </c>
      <c r="FA37" s="107">
        <f t="shared" si="75"/>
        <v>345</v>
      </c>
      <c r="FB37" s="108">
        <f t="shared" si="76"/>
        <v>0.1010840902431878</v>
      </c>
      <c r="FC37" s="107">
        <v>3413</v>
      </c>
      <c r="FD37" s="107">
        <v>345</v>
      </c>
      <c r="FE37" s="108">
        <f t="shared" si="77"/>
        <v>0.1010840902431878</v>
      </c>
      <c r="FF37" s="107">
        <v>603</v>
      </c>
      <c r="FG37" s="108">
        <f t="shared" si="77"/>
        <v>0.17667740990331088</v>
      </c>
      <c r="FH37" s="107">
        <v>887</v>
      </c>
      <c r="FI37" s="108">
        <f t="shared" ref="FI37" si="311">FH37/$FC37</f>
        <v>0.25988866100205099</v>
      </c>
      <c r="FJ37" s="107">
        <v>1074</v>
      </c>
      <c r="FK37" s="108">
        <f t="shared" ref="FK37" si="312">FJ37/$FC37</f>
        <v>0.31467916788748901</v>
      </c>
      <c r="FL37" s="107">
        <v>1654</v>
      </c>
      <c r="FM37" s="108">
        <f t="shared" ref="FM37" si="313">FL37/$FC37</f>
        <v>0.48461763844125405</v>
      </c>
      <c r="FN37" s="107">
        <v>412</v>
      </c>
      <c r="FO37" s="108">
        <v>0.38397017707362535</v>
      </c>
      <c r="FP37" s="107">
        <v>2</v>
      </c>
      <c r="FQ37" s="108">
        <v>1.863932898415657E-3</v>
      </c>
      <c r="FR37" s="107">
        <v>69</v>
      </c>
      <c r="FS37" s="108">
        <v>0.11423841059602649</v>
      </c>
      <c r="FT37" s="110">
        <v>0</v>
      </c>
      <c r="FU37" s="108">
        <v>0</v>
      </c>
      <c r="FV37" s="107">
        <v>282</v>
      </c>
      <c r="FW37" s="108">
        <v>0.28923076923076924</v>
      </c>
      <c r="FX37" s="107">
        <v>12</v>
      </c>
      <c r="FY37" s="108">
        <v>1.2307692307692308E-2</v>
      </c>
      <c r="FZ37" s="107">
        <v>51</v>
      </c>
      <c r="GA37" s="108">
        <v>6.3909774436090222E-2</v>
      </c>
      <c r="GB37" s="107">
        <v>0</v>
      </c>
      <c r="GC37" s="108">
        <v>0</v>
      </c>
      <c r="GD37" s="107">
        <v>814</v>
      </c>
      <c r="GE37" s="117">
        <v>0.23594202898550726</v>
      </c>
      <c r="GF37" s="107">
        <v>14</v>
      </c>
      <c r="GG37" s="117">
        <v>4.0579710144927538E-3</v>
      </c>
      <c r="GH37" s="107">
        <v>2286</v>
      </c>
      <c r="GI37" s="107">
        <v>361</v>
      </c>
      <c r="GJ37" s="108">
        <f t="shared" si="81"/>
        <v>0.15791776027996501</v>
      </c>
      <c r="GK37" s="107">
        <v>139</v>
      </c>
      <c r="GL37" s="108">
        <f t="shared" si="82"/>
        <v>0.38504155124653738</v>
      </c>
      <c r="GM37" s="107">
        <v>115</v>
      </c>
      <c r="GN37" s="108">
        <f t="shared" si="83"/>
        <v>0.31855955678670361</v>
      </c>
      <c r="GO37" s="107">
        <v>1925</v>
      </c>
      <c r="GP37" s="108">
        <f t="shared" si="84"/>
        <v>0.84208223972003504</v>
      </c>
      <c r="GQ37" s="107">
        <v>1482</v>
      </c>
      <c r="GR37" s="108">
        <f t="shared" si="85"/>
        <v>0.76987012987012982</v>
      </c>
      <c r="GS37" s="107">
        <v>416</v>
      </c>
      <c r="GT37" s="108">
        <f t="shared" si="86"/>
        <v>0.2161038961038961</v>
      </c>
    </row>
    <row r="38" spans="1:202" x14ac:dyDescent="0.25">
      <c r="A38" s="104" t="s">
        <v>210</v>
      </c>
      <c r="B38" s="143">
        <v>19490</v>
      </c>
      <c r="C38" s="143">
        <v>6781</v>
      </c>
      <c r="D38" s="143">
        <v>4990</v>
      </c>
      <c r="E38" s="143">
        <v>2032</v>
      </c>
      <c r="F38" s="143">
        <v>713</v>
      </c>
      <c r="G38" s="144">
        <f t="shared" si="2"/>
        <v>0.34792201128783989</v>
      </c>
      <c r="H38" s="144">
        <f t="shared" si="3"/>
        <v>0.25602873268342741</v>
      </c>
      <c r="I38" s="144">
        <f t="shared" si="4"/>
        <v>0.10425859415084658</v>
      </c>
      <c r="J38" s="144">
        <f t="shared" si="5"/>
        <v>3.6582863006670088E-2</v>
      </c>
      <c r="K38" s="143">
        <v>2417</v>
      </c>
      <c r="L38" s="145">
        <f t="shared" si="6"/>
        <v>0.48436873747494991</v>
      </c>
      <c r="M38" s="143">
        <v>2573</v>
      </c>
      <c r="N38" s="145">
        <f t="shared" si="7"/>
        <v>0.51563126252505009</v>
      </c>
      <c r="O38" s="148">
        <v>48.7</v>
      </c>
      <c r="P38" s="107">
        <v>8881</v>
      </c>
      <c r="Q38" s="107">
        <v>4635</v>
      </c>
      <c r="R38" s="108">
        <f t="shared" si="8"/>
        <v>0.5219006868595879</v>
      </c>
      <c r="S38" s="107">
        <v>3602</v>
      </c>
      <c r="T38" s="149">
        <f t="shared" si="9"/>
        <v>0.405584956649026</v>
      </c>
      <c r="U38" s="143">
        <v>2417</v>
      </c>
      <c r="V38" s="107">
        <v>119</v>
      </c>
      <c r="W38" s="108">
        <f t="shared" si="10"/>
        <v>4.9234588332643776E-2</v>
      </c>
      <c r="X38" s="107">
        <v>1674</v>
      </c>
      <c r="Y38" s="150">
        <f t="shared" si="11"/>
        <v>0.69259412494828299</v>
      </c>
      <c r="Z38" s="107">
        <v>68</v>
      </c>
      <c r="AA38" s="108">
        <f t="shared" si="12"/>
        <v>2.8134050475796441E-2</v>
      </c>
      <c r="AB38" s="107">
        <v>216</v>
      </c>
      <c r="AC38" s="108">
        <f t="shared" si="13"/>
        <v>8.9366983864294577E-2</v>
      </c>
      <c r="AD38" s="107">
        <v>340</v>
      </c>
      <c r="AE38" s="108">
        <f t="shared" si="14"/>
        <v>0.1406702523789822</v>
      </c>
      <c r="AF38" s="107">
        <v>2573</v>
      </c>
      <c r="AG38" s="107">
        <v>59</v>
      </c>
      <c r="AH38" s="108">
        <f t="shared" si="15"/>
        <v>2.2930431403031481E-2</v>
      </c>
      <c r="AI38" s="107">
        <v>1364</v>
      </c>
      <c r="AJ38" s="108">
        <f t="shared" si="16"/>
        <v>0.53012048192771088</v>
      </c>
      <c r="AK38" s="107">
        <v>90</v>
      </c>
      <c r="AL38" s="108">
        <f t="shared" si="17"/>
        <v>3.4978624174115819E-2</v>
      </c>
      <c r="AM38" s="107">
        <v>757</v>
      </c>
      <c r="AN38" s="108">
        <f t="shared" si="18"/>
        <v>0.29420909444228527</v>
      </c>
      <c r="AO38" s="107">
        <v>303</v>
      </c>
      <c r="AP38" s="108">
        <f t="shared" si="19"/>
        <v>0.11776136805285659</v>
      </c>
      <c r="AQ38" s="107">
        <f t="shared" si="20"/>
        <v>4990</v>
      </c>
      <c r="AR38" s="107">
        <f t="shared" si="21"/>
        <v>178</v>
      </c>
      <c r="AS38" s="108">
        <f t="shared" si="22"/>
        <v>3.5671342685370741E-2</v>
      </c>
      <c r="AT38" s="107">
        <f t="shared" si="23"/>
        <v>3038</v>
      </c>
      <c r="AU38" s="108">
        <f t="shared" si="24"/>
        <v>0.60881763527054111</v>
      </c>
      <c r="AV38" s="107">
        <f t="shared" si="25"/>
        <v>158</v>
      </c>
      <c r="AW38" s="108">
        <f t="shared" si="26"/>
        <v>3.1663326653306616E-2</v>
      </c>
      <c r="AX38" s="107">
        <f t="shared" si="27"/>
        <v>973</v>
      </c>
      <c r="AY38" s="108">
        <f t="shared" si="28"/>
        <v>0.19498997995991985</v>
      </c>
      <c r="AZ38" s="107">
        <f t="shared" si="29"/>
        <v>643</v>
      </c>
      <c r="BA38" s="108">
        <f t="shared" si="30"/>
        <v>0.12885771543086172</v>
      </c>
      <c r="BB38" s="111">
        <v>2354</v>
      </c>
      <c r="BC38" s="111">
        <v>802</v>
      </c>
      <c r="BD38" s="152">
        <f t="shared" si="31"/>
        <v>0.34069668649107904</v>
      </c>
      <c r="BE38" s="111">
        <v>2490</v>
      </c>
      <c r="BF38" s="111">
        <v>573</v>
      </c>
      <c r="BG38" s="152">
        <f t="shared" si="0"/>
        <v>0.23012048192771084</v>
      </c>
      <c r="BH38" s="153">
        <f t="shared" si="32"/>
        <v>4844</v>
      </c>
      <c r="BI38" s="153">
        <f t="shared" si="33"/>
        <v>1375</v>
      </c>
      <c r="BJ38" s="154">
        <f t="shared" si="34"/>
        <v>0.28385631709331133</v>
      </c>
      <c r="BK38" s="107">
        <v>4990</v>
      </c>
      <c r="BL38" s="107">
        <v>1470</v>
      </c>
      <c r="BM38" s="108">
        <f t="shared" si="87"/>
        <v>0.29458917835671344</v>
      </c>
      <c r="BN38" s="107">
        <v>2417</v>
      </c>
      <c r="BO38" s="107">
        <v>502</v>
      </c>
      <c r="BP38" s="108">
        <f t="shared" si="35"/>
        <v>0.20769549027720313</v>
      </c>
      <c r="BQ38" s="107">
        <v>2573</v>
      </c>
      <c r="BR38" s="107">
        <v>968</v>
      </c>
      <c r="BS38" s="108">
        <f t="shared" si="36"/>
        <v>0.37621453556160123</v>
      </c>
      <c r="BT38" s="113">
        <v>19535</v>
      </c>
      <c r="BU38" s="113">
        <v>5282</v>
      </c>
      <c r="BV38" s="156">
        <f t="shared" si="37"/>
        <v>0.2703864857947274</v>
      </c>
      <c r="BW38" s="156">
        <f t="shared" si="38"/>
        <v>1</v>
      </c>
      <c r="BX38" s="113">
        <v>18042</v>
      </c>
      <c r="BY38" s="113">
        <v>5124</v>
      </c>
      <c r="BZ38" s="156">
        <f t="shared" si="39"/>
        <v>0.28400399068839377</v>
      </c>
      <c r="CA38" s="156">
        <f t="shared" si="40"/>
        <v>0.97008708822415757</v>
      </c>
      <c r="CB38" s="113">
        <v>225</v>
      </c>
      <c r="CC38" s="113">
        <v>16</v>
      </c>
      <c r="CD38" s="156">
        <f t="shared" si="41"/>
        <v>7.1111111111111111E-2</v>
      </c>
      <c r="CE38" s="156">
        <f t="shared" si="88"/>
        <v>3.0291556228701248E-3</v>
      </c>
      <c r="CF38" s="113">
        <v>276</v>
      </c>
      <c r="CG38" s="113">
        <v>42</v>
      </c>
      <c r="CH38" s="156">
        <f t="shared" si="42"/>
        <v>0.15217391304347827</v>
      </c>
      <c r="CI38" s="156">
        <f t="shared" si="43"/>
        <v>7.9515335100340777E-3</v>
      </c>
      <c r="CJ38" s="113">
        <v>119</v>
      </c>
      <c r="CK38" s="113">
        <v>17</v>
      </c>
      <c r="CL38" s="161">
        <f t="shared" si="44"/>
        <v>0.14285714285714285</v>
      </c>
      <c r="CM38" s="156">
        <f t="shared" si="45"/>
        <v>3.2184778492995079E-3</v>
      </c>
      <c r="CN38" s="113">
        <v>1</v>
      </c>
      <c r="CO38" s="113">
        <v>0</v>
      </c>
      <c r="CP38" s="161">
        <v>0</v>
      </c>
      <c r="CQ38" s="156">
        <f t="shared" si="47"/>
        <v>0</v>
      </c>
      <c r="CR38" s="105">
        <v>187</v>
      </c>
      <c r="CS38" s="105">
        <v>0</v>
      </c>
      <c r="CT38" s="106">
        <f t="shared" si="48"/>
        <v>0</v>
      </c>
      <c r="CU38" s="106">
        <f t="shared" si="49"/>
        <v>0</v>
      </c>
      <c r="CV38" s="113">
        <v>320</v>
      </c>
      <c r="CW38" s="113">
        <v>47</v>
      </c>
      <c r="CX38" s="156">
        <f t="shared" si="50"/>
        <v>0.14687500000000001</v>
      </c>
      <c r="CY38" s="156">
        <f t="shared" si="51"/>
        <v>8.8981446421809926E-3</v>
      </c>
      <c r="CZ38" s="113">
        <v>552</v>
      </c>
      <c r="DA38" s="113">
        <v>36</v>
      </c>
      <c r="DB38" s="156">
        <f t="shared" si="52"/>
        <v>6.5217391304347824E-2</v>
      </c>
      <c r="DC38" s="156">
        <f t="shared" si="89"/>
        <v>6.815600151457781E-3</v>
      </c>
      <c r="DD38" s="107">
        <v>2417</v>
      </c>
      <c r="DE38" s="107">
        <v>202</v>
      </c>
      <c r="DF38" s="107">
        <v>1097</v>
      </c>
      <c r="DG38" s="107">
        <v>703</v>
      </c>
      <c r="DH38" s="107">
        <v>415</v>
      </c>
      <c r="DI38" s="149">
        <f t="shared" si="53"/>
        <v>8.3574679354571788E-2</v>
      </c>
      <c r="DJ38" s="149">
        <f t="shared" si="54"/>
        <v>0.45386843194042203</v>
      </c>
      <c r="DK38" s="149">
        <f t="shared" si="55"/>
        <v>0.46255688870500622</v>
      </c>
      <c r="DL38" s="107">
        <v>2573</v>
      </c>
      <c r="DM38" s="107">
        <v>244</v>
      </c>
      <c r="DN38" s="107">
        <v>1260</v>
      </c>
      <c r="DO38" s="107">
        <v>708</v>
      </c>
      <c r="DP38" s="107">
        <v>361</v>
      </c>
      <c r="DQ38" s="149">
        <f t="shared" si="56"/>
        <v>9.4830936649825101E-2</v>
      </c>
      <c r="DR38" s="149">
        <f t="shared" si="57"/>
        <v>0.48970073843762146</v>
      </c>
      <c r="DS38" s="149">
        <f t="shared" si="58"/>
        <v>0.41546832491255342</v>
      </c>
      <c r="DT38" s="107">
        <f t="shared" si="59"/>
        <v>4990</v>
      </c>
      <c r="DU38" s="107">
        <f t="shared" si="60"/>
        <v>446</v>
      </c>
      <c r="DV38" s="107">
        <f t="shared" si="61"/>
        <v>2357</v>
      </c>
      <c r="DW38" s="107">
        <f t="shared" si="62"/>
        <v>1411</v>
      </c>
      <c r="DX38" s="107">
        <f t="shared" si="63"/>
        <v>776</v>
      </c>
      <c r="DY38" s="108">
        <f t="shared" si="64"/>
        <v>8.9378757515030063E-2</v>
      </c>
      <c r="DZ38" s="108">
        <f t="shared" si="65"/>
        <v>0.47234468937875751</v>
      </c>
      <c r="EA38" s="108">
        <f t="shared" si="66"/>
        <v>0.43827655310621244</v>
      </c>
      <c r="EB38" s="107">
        <v>3221</v>
      </c>
      <c r="EC38" s="110">
        <v>336</v>
      </c>
      <c r="ED38" s="108">
        <f t="shared" si="67"/>
        <v>0.10431542999068612</v>
      </c>
      <c r="EE38" s="107">
        <v>729</v>
      </c>
      <c r="EF38" s="108">
        <f t="shared" si="67"/>
        <v>0.22632722756907792</v>
      </c>
      <c r="EG38" s="107">
        <v>1256</v>
      </c>
      <c r="EH38" s="108">
        <f t="shared" ref="EH38" si="314">EG38/$EB38</f>
        <v>0.389941012108041</v>
      </c>
      <c r="EI38" s="107">
        <v>1837</v>
      </c>
      <c r="EJ38" s="108">
        <f t="shared" ref="EJ38" si="315">EI38/$EB38</f>
        <v>0.57031977646693577</v>
      </c>
      <c r="EK38" s="107">
        <v>2419</v>
      </c>
      <c r="EL38" s="108">
        <f t="shared" ref="EL38" si="316">EK38/$EB38</f>
        <v>0.75100900341508847</v>
      </c>
      <c r="EM38" s="107">
        <v>2784</v>
      </c>
      <c r="EN38" s="108">
        <f t="shared" ref="EN38" si="317">EM38/$EB38</f>
        <v>0.86432784849425648</v>
      </c>
      <c r="EO38" s="163">
        <v>55878</v>
      </c>
      <c r="EP38" s="163">
        <v>48750</v>
      </c>
      <c r="EQ38" s="163">
        <v>63625</v>
      </c>
      <c r="ER38" s="163">
        <v>75625</v>
      </c>
      <c r="ES38" s="163">
        <v>44432</v>
      </c>
      <c r="ET38" s="107">
        <v>2354</v>
      </c>
      <c r="EU38" s="107">
        <v>146</v>
      </c>
      <c r="EV38" s="108">
        <f t="shared" si="72"/>
        <v>6.2022090059473234E-2</v>
      </c>
      <c r="EW38" s="107">
        <v>2490</v>
      </c>
      <c r="EX38" s="107">
        <v>300</v>
      </c>
      <c r="EY38" s="108">
        <f t="shared" si="73"/>
        <v>0.12048192771084337</v>
      </c>
      <c r="EZ38" s="107">
        <f t="shared" si="74"/>
        <v>4844</v>
      </c>
      <c r="FA38" s="107">
        <f t="shared" si="75"/>
        <v>446</v>
      </c>
      <c r="FB38" s="108">
        <f t="shared" si="76"/>
        <v>9.2072667217175885E-2</v>
      </c>
      <c r="FC38" s="107">
        <v>4844</v>
      </c>
      <c r="FD38" s="107">
        <v>446</v>
      </c>
      <c r="FE38" s="108">
        <f t="shared" si="77"/>
        <v>9.2072667217175885E-2</v>
      </c>
      <c r="FF38" s="107">
        <v>922</v>
      </c>
      <c r="FG38" s="108">
        <f t="shared" si="77"/>
        <v>0.19033856317093312</v>
      </c>
      <c r="FH38" s="107">
        <v>1251</v>
      </c>
      <c r="FI38" s="108">
        <f t="shared" ref="FI38" si="318">FH38/$FC38</f>
        <v>0.2582576383154418</v>
      </c>
      <c r="FJ38" s="107">
        <v>1434</v>
      </c>
      <c r="FK38" s="108">
        <f t="shared" ref="FK38" si="319">FJ38/$FC38</f>
        <v>0.29603633360858794</v>
      </c>
      <c r="FL38" s="107">
        <v>2776</v>
      </c>
      <c r="FM38" s="108">
        <f t="shared" ref="FM38" si="320">FL38/$FC38</f>
        <v>0.5730800990916598</v>
      </c>
      <c r="FN38" s="107">
        <v>347</v>
      </c>
      <c r="FO38" s="108">
        <v>0.22949735449735451</v>
      </c>
      <c r="FP38" s="107">
        <v>0</v>
      </c>
      <c r="FQ38" s="108">
        <v>0</v>
      </c>
      <c r="FR38" s="107">
        <v>50</v>
      </c>
      <c r="FS38" s="108">
        <v>5.5248618784530384E-2</v>
      </c>
      <c r="FT38" s="110">
        <v>0</v>
      </c>
      <c r="FU38" s="108">
        <v>0</v>
      </c>
      <c r="FV38" s="107">
        <v>314</v>
      </c>
      <c r="FW38" s="108">
        <v>0.21715076071922546</v>
      </c>
      <c r="FX38" s="107">
        <v>0</v>
      </c>
      <c r="FY38" s="108">
        <v>0</v>
      </c>
      <c r="FZ38" s="107">
        <v>24</v>
      </c>
      <c r="GA38" s="108">
        <v>2.1295474711623779E-2</v>
      </c>
      <c r="GB38" s="107">
        <v>0</v>
      </c>
      <c r="GC38" s="108">
        <v>0</v>
      </c>
      <c r="GD38" s="107">
        <v>735</v>
      </c>
      <c r="GE38" s="117">
        <v>0.14729458917835672</v>
      </c>
      <c r="GF38" s="107">
        <v>0</v>
      </c>
      <c r="GG38" s="117">
        <v>0</v>
      </c>
      <c r="GH38" s="107">
        <v>3221</v>
      </c>
      <c r="GI38" s="107">
        <v>539</v>
      </c>
      <c r="GJ38" s="108">
        <f t="shared" si="81"/>
        <v>0.16733933561005898</v>
      </c>
      <c r="GK38" s="107">
        <v>113</v>
      </c>
      <c r="GL38" s="108">
        <f t="shared" si="82"/>
        <v>0.20964749536178107</v>
      </c>
      <c r="GM38" s="107">
        <v>281</v>
      </c>
      <c r="GN38" s="108">
        <f t="shared" si="83"/>
        <v>0.52133580705009275</v>
      </c>
      <c r="GO38" s="107">
        <v>2682</v>
      </c>
      <c r="GP38" s="108">
        <f t="shared" si="84"/>
        <v>0.83266066438994102</v>
      </c>
      <c r="GQ38" s="107">
        <v>2174</v>
      </c>
      <c r="GR38" s="108">
        <f t="shared" si="85"/>
        <v>0.81058911260253541</v>
      </c>
      <c r="GS38" s="107">
        <v>485</v>
      </c>
      <c r="GT38" s="108">
        <f t="shared" si="86"/>
        <v>0.1808351976137211</v>
      </c>
    </row>
    <row r="39" spans="1:202" x14ac:dyDescent="0.25">
      <c r="A39" s="104" t="s">
        <v>211</v>
      </c>
      <c r="B39" s="143">
        <v>28426</v>
      </c>
      <c r="C39" s="143">
        <v>9330</v>
      </c>
      <c r="D39" s="143">
        <v>6721</v>
      </c>
      <c r="E39" s="143">
        <v>2671</v>
      </c>
      <c r="F39" s="143">
        <v>830</v>
      </c>
      <c r="G39" s="144">
        <f t="shared" si="2"/>
        <v>0.32822064307324278</v>
      </c>
      <c r="H39" s="144">
        <f t="shared" si="3"/>
        <v>0.23643847182157179</v>
      </c>
      <c r="I39" s="144">
        <f t="shared" si="4"/>
        <v>9.3963273059874758E-2</v>
      </c>
      <c r="J39" s="144">
        <f t="shared" si="5"/>
        <v>2.9198620980792234E-2</v>
      </c>
      <c r="K39" s="143">
        <v>3236</v>
      </c>
      <c r="L39" s="145">
        <f t="shared" si="6"/>
        <v>0.48147597083767296</v>
      </c>
      <c r="M39" s="143">
        <v>3485</v>
      </c>
      <c r="N39" s="145">
        <f t="shared" si="7"/>
        <v>0.51852402916232698</v>
      </c>
      <c r="O39" s="148">
        <v>49.3</v>
      </c>
      <c r="P39" s="107">
        <v>12772</v>
      </c>
      <c r="Q39" s="107">
        <v>6281</v>
      </c>
      <c r="R39" s="108">
        <f t="shared" si="8"/>
        <v>0.49177889132477293</v>
      </c>
      <c r="S39" s="107">
        <v>4616</v>
      </c>
      <c r="T39" s="149">
        <f t="shared" si="9"/>
        <v>0.36141559661760098</v>
      </c>
      <c r="U39" s="143">
        <v>3236</v>
      </c>
      <c r="V39" s="107">
        <v>151</v>
      </c>
      <c r="W39" s="108">
        <f t="shared" si="10"/>
        <v>4.666254635352287E-2</v>
      </c>
      <c r="X39" s="107">
        <v>2038</v>
      </c>
      <c r="Y39" s="150">
        <f t="shared" si="11"/>
        <v>0.6297898640296663</v>
      </c>
      <c r="Z39" s="107">
        <v>28</v>
      </c>
      <c r="AA39" s="108">
        <f t="shared" si="12"/>
        <v>8.65265760197775E-3</v>
      </c>
      <c r="AB39" s="107">
        <v>333</v>
      </c>
      <c r="AC39" s="108">
        <f t="shared" si="13"/>
        <v>0.10290482076637825</v>
      </c>
      <c r="AD39" s="107">
        <v>686</v>
      </c>
      <c r="AE39" s="108">
        <f t="shared" si="14"/>
        <v>0.21199011124845488</v>
      </c>
      <c r="AF39" s="107">
        <v>3485</v>
      </c>
      <c r="AG39" s="107">
        <v>102</v>
      </c>
      <c r="AH39" s="108">
        <f t="shared" si="15"/>
        <v>2.9268292682926831E-2</v>
      </c>
      <c r="AI39" s="107">
        <v>1707</v>
      </c>
      <c r="AJ39" s="108">
        <f t="shared" si="16"/>
        <v>0.48981348637015781</v>
      </c>
      <c r="AK39" s="107">
        <v>77</v>
      </c>
      <c r="AL39" s="108">
        <f t="shared" si="17"/>
        <v>2.2094691535150646E-2</v>
      </c>
      <c r="AM39" s="107">
        <v>1085</v>
      </c>
      <c r="AN39" s="108">
        <f t="shared" si="18"/>
        <v>0.31133428981348638</v>
      </c>
      <c r="AO39" s="107">
        <v>514</v>
      </c>
      <c r="AP39" s="108">
        <f t="shared" si="19"/>
        <v>0.14748923959827834</v>
      </c>
      <c r="AQ39" s="107">
        <f t="shared" si="20"/>
        <v>6721</v>
      </c>
      <c r="AR39" s="107">
        <f t="shared" si="21"/>
        <v>253</v>
      </c>
      <c r="AS39" s="108">
        <f t="shared" si="22"/>
        <v>3.7643207855973811E-2</v>
      </c>
      <c r="AT39" s="107">
        <f t="shared" si="23"/>
        <v>3745</v>
      </c>
      <c r="AU39" s="108">
        <f t="shared" si="24"/>
        <v>0.55720874869811043</v>
      </c>
      <c r="AV39" s="107">
        <f t="shared" si="25"/>
        <v>105</v>
      </c>
      <c r="AW39" s="108">
        <f t="shared" si="26"/>
        <v>1.5622675197143282E-2</v>
      </c>
      <c r="AX39" s="107">
        <f t="shared" si="27"/>
        <v>1418</v>
      </c>
      <c r="AY39" s="108">
        <f t="shared" si="28"/>
        <v>0.21098050885284927</v>
      </c>
      <c r="AZ39" s="107">
        <f t="shared" si="29"/>
        <v>1200</v>
      </c>
      <c r="BA39" s="108">
        <f t="shared" si="30"/>
        <v>0.17854485939592324</v>
      </c>
      <c r="BB39" s="111">
        <v>3193</v>
      </c>
      <c r="BC39" s="111">
        <v>1059</v>
      </c>
      <c r="BD39" s="152">
        <f t="shared" si="31"/>
        <v>0.3316630128405888</v>
      </c>
      <c r="BE39" s="111">
        <v>3302</v>
      </c>
      <c r="BF39" s="111">
        <v>868</v>
      </c>
      <c r="BG39" s="152">
        <f t="shared" si="0"/>
        <v>0.26287098728043612</v>
      </c>
      <c r="BH39" s="153">
        <f t="shared" si="32"/>
        <v>6495</v>
      </c>
      <c r="BI39" s="153">
        <f t="shared" si="33"/>
        <v>1927</v>
      </c>
      <c r="BJ39" s="154">
        <f t="shared" si="34"/>
        <v>0.29668976135488839</v>
      </c>
      <c r="BK39" s="107">
        <v>6721</v>
      </c>
      <c r="BL39" s="107">
        <v>1884</v>
      </c>
      <c r="BM39" s="108">
        <f t="shared" si="87"/>
        <v>0.28031542925159947</v>
      </c>
      <c r="BN39" s="107">
        <v>3236</v>
      </c>
      <c r="BO39" s="107">
        <v>722</v>
      </c>
      <c r="BP39" s="108">
        <f t="shared" si="35"/>
        <v>0.223114956736712</v>
      </c>
      <c r="BQ39" s="107">
        <v>3485</v>
      </c>
      <c r="BR39" s="107">
        <v>1162</v>
      </c>
      <c r="BS39" s="108">
        <f t="shared" si="36"/>
        <v>0.33342898134863702</v>
      </c>
      <c r="BT39" s="113">
        <v>28461</v>
      </c>
      <c r="BU39" s="113">
        <v>7159</v>
      </c>
      <c r="BV39" s="156">
        <f t="shared" si="37"/>
        <v>0.25153719124415869</v>
      </c>
      <c r="BW39" s="156">
        <f t="shared" si="38"/>
        <v>1</v>
      </c>
      <c r="BX39" s="113">
        <v>26663</v>
      </c>
      <c r="BY39" s="113">
        <v>7007</v>
      </c>
      <c r="BZ39" s="156">
        <f t="shared" si="39"/>
        <v>0.26279863481228671</v>
      </c>
      <c r="CA39" s="156">
        <f t="shared" si="40"/>
        <v>0.97876798435535695</v>
      </c>
      <c r="CB39" s="113">
        <v>184</v>
      </c>
      <c r="CC39" s="113">
        <v>9</v>
      </c>
      <c r="CD39" s="156">
        <f t="shared" si="41"/>
        <v>4.8913043478260872E-2</v>
      </c>
      <c r="CE39" s="156">
        <f t="shared" si="88"/>
        <v>1.2571588210643944E-3</v>
      </c>
      <c r="CF39" s="113">
        <v>163</v>
      </c>
      <c r="CG39" s="113">
        <v>29</v>
      </c>
      <c r="CH39" s="156">
        <f t="shared" si="42"/>
        <v>0.17791411042944785</v>
      </c>
      <c r="CI39" s="156">
        <f t="shared" si="43"/>
        <v>4.0508450900963826E-3</v>
      </c>
      <c r="CJ39" s="113">
        <v>201</v>
      </c>
      <c r="CK39" s="113">
        <v>27</v>
      </c>
      <c r="CL39" s="161">
        <f t="shared" si="44"/>
        <v>0.13432835820895522</v>
      </c>
      <c r="CM39" s="156">
        <f t="shared" si="45"/>
        <v>3.7714764631931832E-3</v>
      </c>
      <c r="CN39" s="113">
        <v>13</v>
      </c>
      <c r="CO39" s="113">
        <v>5</v>
      </c>
      <c r="CP39" s="161">
        <f t="shared" si="46"/>
        <v>0.38461538461538464</v>
      </c>
      <c r="CQ39" s="156">
        <f t="shared" si="47"/>
        <v>6.9842156725799694E-4</v>
      </c>
      <c r="CR39" s="105">
        <v>104</v>
      </c>
      <c r="CS39" s="105">
        <v>4</v>
      </c>
      <c r="CT39" s="106">
        <f t="shared" si="48"/>
        <v>3.8461538461538464E-2</v>
      </c>
      <c r="CU39" s="106">
        <f t="shared" si="49"/>
        <v>5.5873725380639757E-4</v>
      </c>
      <c r="CV39" s="113">
        <v>465</v>
      </c>
      <c r="CW39" s="113">
        <v>38</v>
      </c>
      <c r="CX39" s="156">
        <f t="shared" si="50"/>
        <v>8.1720430107526887E-2</v>
      </c>
      <c r="CY39" s="156">
        <f t="shared" si="51"/>
        <v>5.3080039111607765E-3</v>
      </c>
      <c r="CZ39" s="113">
        <v>772</v>
      </c>
      <c r="DA39" s="113">
        <v>44</v>
      </c>
      <c r="DB39" s="156">
        <f t="shared" si="52"/>
        <v>5.6994818652849742E-2</v>
      </c>
      <c r="DC39" s="156">
        <f t="shared" si="89"/>
        <v>6.1461097918703734E-3</v>
      </c>
      <c r="DD39" s="107">
        <v>3236</v>
      </c>
      <c r="DE39" s="107">
        <v>260</v>
      </c>
      <c r="DF39" s="107">
        <v>1334</v>
      </c>
      <c r="DG39" s="107">
        <v>998</v>
      </c>
      <c r="DH39" s="107">
        <v>644</v>
      </c>
      <c r="DI39" s="149">
        <f t="shared" si="53"/>
        <v>8.034610630407911E-2</v>
      </c>
      <c r="DJ39" s="149">
        <f t="shared" si="54"/>
        <v>0.41223733003708279</v>
      </c>
      <c r="DK39" s="149">
        <f t="shared" si="55"/>
        <v>0.50741656365883803</v>
      </c>
      <c r="DL39" s="107">
        <v>3485</v>
      </c>
      <c r="DM39" s="107">
        <v>278</v>
      </c>
      <c r="DN39" s="107">
        <v>1694</v>
      </c>
      <c r="DO39" s="107">
        <v>849</v>
      </c>
      <c r="DP39" s="107">
        <v>664</v>
      </c>
      <c r="DQ39" s="149">
        <f t="shared" si="56"/>
        <v>7.9770444763271164E-2</v>
      </c>
      <c r="DR39" s="149">
        <f t="shared" si="57"/>
        <v>0.4860832137733142</v>
      </c>
      <c r="DS39" s="149">
        <f t="shared" si="58"/>
        <v>0.43414634146341463</v>
      </c>
      <c r="DT39" s="107">
        <f t="shared" si="59"/>
        <v>6721</v>
      </c>
      <c r="DU39" s="107">
        <f t="shared" si="60"/>
        <v>538</v>
      </c>
      <c r="DV39" s="107">
        <f t="shared" si="61"/>
        <v>3028</v>
      </c>
      <c r="DW39" s="107">
        <f t="shared" si="62"/>
        <v>1847</v>
      </c>
      <c r="DX39" s="107">
        <f t="shared" si="63"/>
        <v>1308</v>
      </c>
      <c r="DY39" s="108">
        <f t="shared" si="64"/>
        <v>8.004761196250558E-2</v>
      </c>
      <c r="DZ39" s="108">
        <f t="shared" si="65"/>
        <v>0.4505281952090463</v>
      </c>
      <c r="EA39" s="108">
        <f t="shared" si="66"/>
        <v>0.46942419282844816</v>
      </c>
      <c r="EB39" s="107">
        <v>4303</v>
      </c>
      <c r="EC39" s="110">
        <v>499</v>
      </c>
      <c r="ED39" s="108">
        <f t="shared" si="67"/>
        <v>0.11596560539158726</v>
      </c>
      <c r="EE39" s="107">
        <v>988</v>
      </c>
      <c r="EF39" s="108">
        <f t="shared" si="67"/>
        <v>0.22960725075528701</v>
      </c>
      <c r="EG39" s="107">
        <v>1577</v>
      </c>
      <c r="EH39" s="108">
        <f t="shared" ref="EH39" si="321">EG39/$EB39</f>
        <v>0.36648849639786196</v>
      </c>
      <c r="EI39" s="107">
        <v>2099</v>
      </c>
      <c r="EJ39" s="108">
        <f t="shared" ref="EJ39" si="322">EI39/$EB39</f>
        <v>0.48779920985359054</v>
      </c>
      <c r="EK39" s="107">
        <v>2990</v>
      </c>
      <c r="EL39" s="108">
        <f t="shared" ref="EL39" si="323">EK39/$EB39</f>
        <v>0.69486404833836857</v>
      </c>
      <c r="EM39" s="107">
        <v>3548</v>
      </c>
      <c r="EN39" s="108">
        <f t="shared" ref="EN39" si="324">EM39/$EB39</f>
        <v>0.82454101789449219</v>
      </c>
      <c r="EO39" s="163">
        <v>68164</v>
      </c>
      <c r="EP39" s="163">
        <v>48445</v>
      </c>
      <c r="EQ39" s="163">
        <v>79245</v>
      </c>
      <c r="ER39" s="163">
        <v>82621</v>
      </c>
      <c r="ES39" s="163">
        <v>51661</v>
      </c>
      <c r="ET39" s="107">
        <v>3193</v>
      </c>
      <c r="EU39" s="107">
        <v>296</v>
      </c>
      <c r="EV39" s="108">
        <f t="shared" si="72"/>
        <v>9.2702787347322263E-2</v>
      </c>
      <c r="EW39" s="107">
        <v>3302</v>
      </c>
      <c r="EX39" s="107">
        <v>493</v>
      </c>
      <c r="EY39" s="108">
        <f t="shared" si="73"/>
        <v>0.14930345245305876</v>
      </c>
      <c r="EZ39" s="107">
        <f t="shared" si="74"/>
        <v>6495</v>
      </c>
      <c r="FA39" s="107">
        <f t="shared" si="75"/>
        <v>789</v>
      </c>
      <c r="FB39" s="108">
        <f t="shared" si="76"/>
        <v>0.12147806004618937</v>
      </c>
      <c r="FC39" s="107">
        <v>6495</v>
      </c>
      <c r="FD39" s="107">
        <v>789</v>
      </c>
      <c r="FE39" s="108">
        <f t="shared" si="77"/>
        <v>0.12147806004618937</v>
      </c>
      <c r="FF39" s="107">
        <v>1451</v>
      </c>
      <c r="FG39" s="108">
        <f t="shared" si="77"/>
        <v>0.22340261739799847</v>
      </c>
      <c r="FH39" s="107">
        <v>1906</v>
      </c>
      <c r="FI39" s="108">
        <f t="shared" ref="FI39" si="325">FH39/$FC39</f>
        <v>0.29345650500384912</v>
      </c>
      <c r="FJ39" s="107">
        <v>2166</v>
      </c>
      <c r="FK39" s="108">
        <f t="shared" ref="FK39" si="326">FJ39/$FC39</f>
        <v>0.33348729792147808</v>
      </c>
      <c r="FL39" s="107">
        <v>3264</v>
      </c>
      <c r="FM39" s="108">
        <f t="shared" ref="FM39" si="327">FL39/$FC39</f>
        <v>0.50254041570438801</v>
      </c>
      <c r="FN39" s="107">
        <v>376</v>
      </c>
      <c r="FO39" s="108">
        <v>0.1830574488802337</v>
      </c>
      <c r="FP39" s="107">
        <v>5</v>
      </c>
      <c r="FQ39" s="108">
        <v>2.4342745861733205E-3</v>
      </c>
      <c r="FR39" s="107">
        <v>80</v>
      </c>
      <c r="FS39" s="108">
        <v>6.7681895093062605E-2</v>
      </c>
      <c r="FT39" s="110">
        <v>0</v>
      </c>
      <c r="FU39" s="108">
        <v>0</v>
      </c>
      <c r="FV39" s="107">
        <v>288</v>
      </c>
      <c r="FW39" s="108">
        <v>0.14428857715430862</v>
      </c>
      <c r="FX39" s="107">
        <v>3</v>
      </c>
      <c r="FY39" s="108">
        <v>1.5030060120240481E-3</v>
      </c>
      <c r="FZ39" s="107">
        <v>52</v>
      </c>
      <c r="GA39" s="108">
        <v>3.4922766957689727E-2</v>
      </c>
      <c r="GB39" s="107">
        <v>0</v>
      </c>
      <c r="GC39" s="108">
        <v>0</v>
      </c>
      <c r="GD39" s="107">
        <v>796</v>
      </c>
      <c r="GE39" s="117">
        <v>0.11843475673262907</v>
      </c>
      <c r="GF39" s="107">
        <v>8</v>
      </c>
      <c r="GG39" s="117">
        <v>1.1902990626394881E-3</v>
      </c>
      <c r="GH39" s="107">
        <v>4303</v>
      </c>
      <c r="GI39" s="107">
        <v>713</v>
      </c>
      <c r="GJ39" s="108">
        <f t="shared" si="81"/>
        <v>0.16569834998838021</v>
      </c>
      <c r="GK39" s="107">
        <v>293</v>
      </c>
      <c r="GL39" s="108">
        <f t="shared" si="82"/>
        <v>0.4109396914446003</v>
      </c>
      <c r="GM39" s="107">
        <v>312</v>
      </c>
      <c r="GN39" s="108">
        <f t="shared" si="83"/>
        <v>0.43758765778401121</v>
      </c>
      <c r="GO39" s="107">
        <v>3590</v>
      </c>
      <c r="GP39" s="108">
        <f t="shared" si="84"/>
        <v>0.83430165001161982</v>
      </c>
      <c r="GQ39" s="107">
        <v>2684</v>
      </c>
      <c r="GR39" s="108">
        <f t="shared" si="85"/>
        <v>0.74763231197771585</v>
      </c>
      <c r="GS39" s="107">
        <v>829</v>
      </c>
      <c r="GT39" s="108">
        <f t="shared" si="86"/>
        <v>0.23091922005571031</v>
      </c>
    </row>
    <row r="40" spans="1:202" x14ac:dyDescent="0.25">
      <c r="A40" s="104" t="s">
        <v>212</v>
      </c>
      <c r="B40" s="143">
        <v>81406</v>
      </c>
      <c r="C40" s="143">
        <v>25254</v>
      </c>
      <c r="D40" s="143">
        <v>18118</v>
      </c>
      <c r="E40" s="143">
        <v>7356</v>
      </c>
      <c r="F40" s="143">
        <v>1796</v>
      </c>
      <c r="G40" s="144">
        <f t="shared" si="2"/>
        <v>0.31022283369776182</v>
      </c>
      <c r="H40" s="144">
        <f t="shared" si="3"/>
        <v>0.2225634474117387</v>
      </c>
      <c r="I40" s="144">
        <f t="shared" si="4"/>
        <v>9.0361889786993582E-2</v>
      </c>
      <c r="J40" s="144">
        <f t="shared" si="5"/>
        <v>2.20622558533769E-2</v>
      </c>
      <c r="K40" s="143">
        <v>8480</v>
      </c>
      <c r="L40" s="145">
        <f t="shared" si="6"/>
        <v>0.46804283033447402</v>
      </c>
      <c r="M40" s="143">
        <v>9638</v>
      </c>
      <c r="N40" s="145">
        <f t="shared" si="7"/>
        <v>0.53195716966552598</v>
      </c>
      <c r="O40" s="148">
        <v>45.1</v>
      </c>
      <c r="P40" s="107">
        <v>35188</v>
      </c>
      <c r="Q40" s="107">
        <v>16897</v>
      </c>
      <c r="R40" s="108">
        <f t="shared" si="8"/>
        <v>0.48019211094691372</v>
      </c>
      <c r="S40" s="107">
        <v>12111</v>
      </c>
      <c r="T40" s="149">
        <f t="shared" si="9"/>
        <v>0.34417983403432989</v>
      </c>
      <c r="U40" s="143">
        <v>8480</v>
      </c>
      <c r="V40" s="107">
        <v>571</v>
      </c>
      <c r="W40" s="108">
        <f t="shared" si="10"/>
        <v>6.7334905660377364E-2</v>
      </c>
      <c r="X40" s="107">
        <v>5783</v>
      </c>
      <c r="Y40" s="150">
        <f t="shared" si="11"/>
        <v>0.68195754716981127</v>
      </c>
      <c r="Z40" s="107">
        <v>186</v>
      </c>
      <c r="AA40" s="108">
        <f t="shared" si="12"/>
        <v>2.1933962264150942E-2</v>
      </c>
      <c r="AB40" s="107">
        <v>986</v>
      </c>
      <c r="AC40" s="108">
        <f t="shared" si="13"/>
        <v>0.11627358490566038</v>
      </c>
      <c r="AD40" s="107">
        <v>954</v>
      </c>
      <c r="AE40" s="108">
        <f t="shared" si="14"/>
        <v>0.1125</v>
      </c>
      <c r="AF40" s="107">
        <v>9638</v>
      </c>
      <c r="AG40" s="107">
        <v>608</v>
      </c>
      <c r="AH40" s="108">
        <f t="shared" si="15"/>
        <v>6.3083627308570242E-2</v>
      </c>
      <c r="AI40" s="107">
        <v>4958</v>
      </c>
      <c r="AJ40" s="108">
        <f t="shared" si="16"/>
        <v>0.51442207926955796</v>
      </c>
      <c r="AK40" s="107">
        <v>208</v>
      </c>
      <c r="AL40" s="108">
        <f t="shared" si="17"/>
        <v>2.1581240921352978E-2</v>
      </c>
      <c r="AM40" s="107">
        <v>2800</v>
      </c>
      <c r="AN40" s="108">
        <f t="shared" si="18"/>
        <v>0.29051670471052088</v>
      </c>
      <c r="AO40" s="107">
        <v>1064</v>
      </c>
      <c r="AP40" s="108">
        <f t="shared" si="19"/>
        <v>0.11039634778999792</v>
      </c>
      <c r="AQ40" s="107">
        <f t="shared" si="20"/>
        <v>18118</v>
      </c>
      <c r="AR40" s="107">
        <f t="shared" si="21"/>
        <v>1179</v>
      </c>
      <c r="AS40" s="108">
        <f t="shared" si="22"/>
        <v>6.5073407660889718E-2</v>
      </c>
      <c r="AT40" s="107">
        <f t="shared" si="23"/>
        <v>10741</v>
      </c>
      <c r="AU40" s="108">
        <f t="shared" si="24"/>
        <v>0.59283585384700299</v>
      </c>
      <c r="AV40" s="107">
        <f t="shared" si="25"/>
        <v>394</v>
      </c>
      <c r="AW40" s="108">
        <f t="shared" si="26"/>
        <v>2.1746329616955513E-2</v>
      </c>
      <c r="AX40" s="107">
        <f t="shared" si="27"/>
        <v>3786</v>
      </c>
      <c r="AY40" s="108">
        <f t="shared" si="28"/>
        <v>0.20896346175074512</v>
      </c>
      <c r="AZ40" s="107">
        <f t="shared" si="29"/>
        <v>2018</v>
      </c>
      <c r="BA40" s="108">
        <f t="shared" si="30"/>
        <v>0.11138094712440667</v>
      </c>
      <c r="BB40" s="111">
        <v>8385</v>
      </c>
      <c r="BC40" s="111">
        <v>2117</v>
      </c>
      <c r="BD40" s="152">
        <f t="shared" si="31"/>
        <v>0.2524746571258199</v>
      </c>
      <c r="BE40" s="111">
        <v>9292</v>
      </c>
      <c r="BF40" s="111">
        <v>1908</v>
      </c>
      <c r="BG40" s="152">
        <f t="shared" si="0"/>
        <v>0.2053379250968575</v>
      </c>
      <c r="BH40" s="153">
        <f t="shared" si="32"/>
        <v>17677</v>
      </c>
      <c r="BI40" s="153">
        <f t="shared" si="33"/>
        <v>4025</v>
      </c>
      <c r="BJ40" s="154">
        <f t="shared" si="34"/>
        <v>0.22769700741075974</v>
      </c>
      <c r="BK40" s="107">
        <v>18118</v>
      </c>
      <c r="BL40" s="107">
        <v>4816</v>
      </c>
      <c r="BM40" s="108">
        <f t="shared" si="87"/>
        <v>0.26581300364278621</v>
      </c>
      <c r="BN40" s="107">
        <v>8480</v>
      </c>
      <c r="BO40" s="107">
        <v>1811</v>
      </c>
      <c r="BP40" s="108">
        <f t="shared" si="35"/>
        <v>0.21356132075471698</v>
      </c>
      <c r="BQ40" s="107">
        <v>9638</v>
      </c>
      <c r="BR40" s="107">
        <v>3005</v>
      </c>
      <c r="BS40" s="108">
        <f t="shared" si="36"/>
        <v>0.31178667773396973</v>
      </c>
      <c r="BT40" s="113">
        <v>81513</v>
      </c>
      <c r="BU40" s="113">
        <v>19368</v>
      </c>
      <c r="BV40" s="156">
        <f t="shared" si="37"/>
        <v>0.23760627139229326</v>
      </c>
      <c r="BW40" s="156">
        <f t="shared" si="38"/>
        <v>1</v>
      </c>
      <c r="BX40" s="113">
        <v>71192</v>
      </c>
      <c r="BY40" s="113">
        <v>18791</v>
      </c>
      <c r="BZ40" s="156">
        <f t="shared" si="39"/>
        <v>0.26394819642656481</v>
      </c>
      <c r="CA40" s="156">
        <f t="shared" si="40"/>
        <v>0.97020859149111938</v>
      </c>
      <c r="CB40" s="113">
        <v>1055</v>
      </c>
      <c r="CC40" s="113">
        <v>52</v>
      </c>
      <c r="CD40" s="156">
        <f t="shared" si="41"/>
        <v>4.9289099526066353E-2</v>
      </c>
      <c r="CE40" s="156">
        <f t="shared" si="88"/>
        <v>2.6848409748038001E-3</v>
      </c>
      <c r="CF40" s="113">
        <v>462</v>
      </c>
      <c r="CG40" s="113">
        <v>80</v>
      </c>
      <c r="CH40" s="156">
        <f t="shared" si="42"/>
        <v>0.17316017316017315</v>
      </c>
      <c r="CI40" s="156">
        <f t="shared" si="43"/>
        <v>4.1305245766212308E-3</v>
      </c>
      <c r="CJ40" s="113">
        <v>2558</v>
      </c>
      <c r="CK40" s="113">
        <v>190</v>
      </c>
      <c r="CL40" s="161">
        <f t="shared" si="44"/>
        <v>7.4276778733385451E-2</v>
      </c>
      <c r="CM40" s="156">
        <f t="shared" si="45"/>
        <v>9.8099958694754241E-3</v>
      </c>
      <c r="CN40" s="113">
        <v>59</v>
      </c>
      <c r="CO40" s="113">
        <v>2</v>
      </c>
      <c r="CP40" s="161">
        <f t="shared" si="46"/>
        <v>3.3898305084745763E-2</v>
      </c>
      <c r="CQ40" s="156">
        <f t="shared" si="47"/>
        <v>1.0326311441553078E-4</v>
      </c>
      <c r="CR40" s="105">
        <v>656</v>
      </c>
      <c r="CS40" s="105">
        <v>0</v>
      </c>
      <c r="CT40" s="106">
        <f t="shared" si="48"/>
        <v>0</v>
      </c>
      <c r="CU40" s="106">
        <f t="shared" si="49"/>
        <v>0</v>
      </c>
      <c r="CV40" s="113">
        <v>1230</v>
      </c>
      <c r="CW40" s="113">
        <v>45</v>
      </c>
      <c r="CX40" s="156">
        <f t="shared" si="50"/>
        <v>3.6585365853658534E-2</v>
      </c>
      <c r="CY40" s="156">
        <f t="shared" si="51"/>
        <v>2.3234200743494425E-3</v>
      </c>
      <c r="CZ40" s="113">
        <v>4957</v>
      </c>
      <c r="DA40" s="113">
        <v>208</v>
      </c>
      <c r="DB40" s="156">
        <f t="shared" si="52"/>
        <v>4.1960863425458947E-2</v>
      </c>
      <c r="DC40" s="156">
        <f t="shared" si="89"/>
        <v>1.0739363899215201E-2</v>
      </c>
      <c r="DD40" s="107">
        <v>8480</v>
      </c>
      <c r="DE40" s="107">
        <v>755</v>
      </c>
      <c r="DF40" s="107">
        <v>3580</v>
      </c>
      <c r="DG40" s="107">
        <v>2188</v>
      </c>
      <c r="DH40" s="107">
        <v>1957</v>
      </c>
      <c r="DI40" s="149">
        <f t="shared" si="53"/>
        <v>8.9033018867924529E-2</v>
      </c>
      <c r="DJ40" s="149">
        <f t="shared" si="54"/>
        <v>0.42216981132075471</v>
      </c>
      <c r="DK40" s="149">
        <f t="shared" si="55"/>
        <v>0.48879716981132076</v>
      </c>
      <c r="DL40" s="107">
        <v>9638</v>
      </c>
      <c r="DM40" s="107">
        <v>583</v>
      </c>
      <c r="DN40" s="107">
        <v>4733</v>
      </c>
      <c r="DO40" s="107">
        <v>2421</v>
      </c>
      <c r="DP40" s="107">
        <v>1901</v>
      </c>
      <c r="DQ40" s="149">
        <f t="shared" si="56"/>
        <v>6.0489728159369163E-2</v>
      </c>
      <c r="DR40" s="149">
        <f t="shared" si="57"/>
        <v>0.49107698692674828</v>
      </c>
      <c r="DS40" s="149">
        <f t="shared" si="58"/>
        <v>0.44843328491388257</v>
      </c>
      <c r="DT40" s="107">
        <f t="shared" si="59"/>
        <v>18118</v>
      </c>
      <c r="DU40" s="107">
        <f t="shared" si="60"/>
        <v>1338</v>
      </c>
      <c r="DV40" s="107">
        <f t="shared" si="61"/>
        <v>8313</v>
      </c>
      <c r="DW40" s="107">
        <f t="shared" si="62"/>
        <v>4609</v>
      </c>
      <c r="DX40" s="107">
        <f t="shared" si="63"/>
        <v>3858</v>
      </c>
      <c r="DY40" s="108">
        <f t="shared" si="64"/>
        <v>7.3849210729661108E-2</v>
      </c>
      <c r="DZ40" s="108">
        <f t="shared" si="65"/>
        <v>0.45882547742576446</v>
      </c>
      <c r="EA40" s="108">
        <f t="shared" si="66"/>
        <v>0.46732531184457443</v>
      </c>
      <c r="EB40" s="107">
        <v>11196</v>
      </c>
      <c r="EC40" s="110">
        <v>853</v>
      </c>
      <c r="ED40" s="108">
        <f t="shared" si="67"/>
        <v>7.6187924258663803E-2</v>
      </c>
      <c r="EE40" s="107">
        <v>1964</v>
      </c>
      <c r="EF40" s="108">
        <f t="shared" si="67"/>
        <v>0.17541979278313682</v>
      </c>
      <c r="EG40" s="107">
        <v>3334</v>
      </c>
      <c r="EH40" s="108">
        <f t="shared" ref="EH40" si="328">EG40/$EB40</f>
        <v>0.29778492318685246</v>
      </c>
      <c r="EI40" s="107">
        <v>5130</v>
      </c>
      <c r="EJ40" s="108">
        <f t="shared" ref="EJ40" si="329">EI40/$EB40</f>
        <v>0.45819935691318325</v>
      </c>
      <c r="EK40" s="107">
        <v>7745</v>
      </c>
      <c r="EL40" s="108">
        <f t="shared" ref="EL40" si="330">EK40/$EB40</f>
        <v>0.69176491604144341</v>
      </c>
      <c r="EM40" s="107">
        <v>9276</v>
      </c>
      <c r="EN40" s="108">
        <f t="shared" ref="EN40" si="331">EM40/$EB40</f>
        <v>0.82851018220793138</v>
      </c>
      <c r="EO40" s="163">
        <v>69148</v>
      </c>
      <c r="EP40" s="163">
        <v>42421</v>
      </c>
      <c r="EQ40" s="163">
        <v>80940</v>
      </c>
      <c r="ER40" s="163">
        <v>84769</v>
      </c>
      <c r="ES40" s="163">
        <v>52992</v>
      </c>
      <c r="ET40" s="107">
        <v>8385</v>
      </c>
      <c r="EU40" s="107">
        <v>468</v>
      </c>
      <c r="EV40" s="108">
        <f t="shared" si="72"/>
        <v>5.5813953488372092E-2</v>
      </c>
      <c r="EW40" s="107">
        <v>9292</v>
      </c>
      <c r="EX40" s="107">
        <v>1142</v>
      </c>
      <c r="EY40" s="108">
        <f t="shared" si="73"/>
        <v>0.1229014205768403</v>
      </c>
      <c r="EZ40" s="107">
        <f t="shared" si="74"/>
        <v>17677</v>
      </c>
      <c r="FA40" s="107">
        <f t="shared" si="75"/>
        <v>1610</v>
      </c>
      <c r="FB40" s="108">
        <f t="shared" si="76"/>
        <v>9.1078802964303901E-2</v>
      </c>
      <c r="FC40" s="107">
        <v>17677</v>
      </c>
      <c r="FD40" s="107">
        <v>1610</v>
      </c>
      <c r="FE40" s="108">
        <f t="shared" si="77"/>
        <v>9.1078802964303901E-2</v>
      </c>
      <c r="FF40" s="107">
        <v>2783</v>
      </c>
      <c r="FG40" s="108">
        <f t="shared" si="77"/>
        <v>0.15743621655258244</v>
      </c>
      <c r="FH40" s="107">
        <v>3813</v>
      </c>
      <c r="FI40" s="108">
        <f t="shared" ref="FI40" si="332">FH40/$FC40</f>
        <v>0.21570402217570855</v>
      </c>
      <c r="FJ40" s="107">
        <v>4458</v>
      </c>
      <c r="FK40" s="108">
        <f t="shared" ref="FK40" si="333">FJ40/$FC40</f>
        <v>0.2521921140465011</v>
      </c>
      <c r="FL40" s="107">
        <v>8034</v>
      </c>
      <c r="FM40" s="108">
        <f t="shared" ref="FM40" si="334">FL40/$FC40</f>
        <v>0.45448888386038355</v>
      </c>
      <c r="FN40" s="107">
        <v>1375</v>
      </c>
      <c r="FO40" s="108">
        <v>0.25505472083101466</v>
      </c>
      <c r="FP40" s="107">
        <v>22</v>
      </c>
      <c r="FQ40" s="108">
        <v>4.0808755332962347E-3</v>
      </c>
      <c r="FR40" s="107">
        <v>240</v>
      </c>
      <c r="FS40" s="108">
        <v>7.7695046940757531E-2</v>
      </c>
      <c r="FT40" s="110">
        <v>8</v>
      </c>
      <c r="FU40" s="108">
        <v>2.589834898025251E-3</v>
      </c>
      <c r="FV40" s="107">
        <v>1023</v>
      </c>
      <c r="FW40" s="108">
        <v>0.19046732452057344</v>
      </c>
      <c r="FX40" s="107">
        <v>4</v>
      </c>
      <c r="FY40" s="108">
        <v>7.4474027183019922E-4</v>
      </c>
      <c r="FZ40" s="107">
        <v>124</v>
      </c>
      <c r="GA40" s="108">
        <v>2.9060229669557066E-2</v>
      </c>
      <c r="GB40" s="107">
        <v>11</v>
      </c>
      <c r="GC40" s="108">
        <v>2.5779235997187718E-3</v>
      </c>
      <c r="GD40" s="107">
        <v>2762</v>
      </c>
      <c r="GE40" s="117">
        <v>0.15244508223865769</v>
      </c>
      <c r="GF40" s="107">
        <v>45</v>
      </c>
      <c r="GG40" s="117">
        <v>2.4837178496522794E-3</v>
      </c>
      <c r="GH40" s="107">
        <v>11196</v>
      </c>
      <c r="GI40" s="107">
        <v>1646</v>
      </c>
      <c r="GJ40" s="108">
        <f t="shared" si="81"/>
        <v>0.14701679171132548</v>
      </c>
      <c r="GK40" s="107">
        <v>672</v>
      </c>
      <c r="GL40" s="108">
        <f t="shared" si="82"/>
        <v>0.40826245443499393</v>
      </c>
      <c r="GM40" s="107">
        <v>666</v>
      </c>
      <c r="GN40" s="108">
        <f t="shared" si="83"/>
        <v>0.40461725394896719</v>
      </c>
      <c r="GO40" s="107">
        <v>9550</v>
      </c>
      <c r="GP40" s="108">
        <f t="shared" si="84"/>
        <v>0.85298320828867458</v>
      </c>
      <c r="GQ40" s="107">
        <v>7775</v>
      </c>
      <c r="GR40" s="108">
        <f t="shared" si="85"/>
        <v>0.81413612565445026</v>
      </c>
      <c r="GS40" s="107">
        <v>1705</v>
      </c>
      <c r="GT40" s="108">
        <f t="shared" si="86"/>
        <v>0.17853403141361257</v>
      </c>
    </row>
    <row r="41" spans="1:202" x14ac:dyDescent="0.25">
      <c r="A41" s="104" t="s">
        <v>213</v>
      </c>
      <c r="B41" s="143">
        <v>138403</v>
      </c>
      <c r="C41" s="143">
        <v>36893</v>
      </c>
      <c r="D41" s="143">
        <v>26553</v>
      </c>
      <c r="E41" s="143">
        <v>11009</v>
      </c>
      <c r="F41" s="143">
        <v>3309</v>
      </c>
      <c r="G41" s="144">
        <f t="shared" si="2"/>
        <v>0.26656214099405362</v>
      </c>
      <c r="H41" s="144">
        <f t="shared" si="3"/>
        <v>0.19185277775770757</v>
      </c>
      <c r="I41" s="144">
        <f t="shared" si="4"/>
        <v>7.9543073488291441E-2</v>
      </c>
      <c r="J41" s="144">
        <f t="shared" si="5"/>
        <v>2.3908441291012477E-2</v>
      </c>
      <c r="K41" s="143">
        <v>12538</v>
      </c>
      <c r="L41" s="145">
        <f t="shared" si="6"/>
        <v>0.47218770007155503</v>
      </c>
      <c r="M41" s="143">
        <v>14015</v>
      </c>
      <c r="N41" s="145">
        <f t="shared" si="7"/>
        <v>0.52781229992844503</v>
      </c>
      <c r="O41" s="148">
        <v>41.3</v>
      </c>
      <c r="P41" s="107">
        <v>57866</v>
      </c>
      <c r="Q41" s="107">
        <v>24934</v>
      </c>
      <c r="R41" s="108">
        <f t="shared" si="8"/>
        <v>0.43089206096844435</v>
      </c>
      <c r="S41" s="107">
        <v>18509</v>
      </c>
      <c r="T41" s="149">
        <f t="shared" si="9"/>
        <v>0.31985967580271663</v>
      </c>
      <c r="U41" s="143">
        <v>12538</v>
      </c>
      <c r="V41" s="107">
        <v>644</v>
      </c>
      <c r="W41" s="108">
        <f t="shared" si="10"/>
        <v>5.1363853884192054E-2</v>
      </c>
      <c r="X41" s="107">
        <v>8964</v>
      </c>
      <c r="Y41" s="150">
        <f t="shared" si="11"/>
        <v>0.71494656245015153</v>
      </c>
      <c r="Z41" s="107">
        <v>300</v>
      </c>
      <c r="AA41" s="108">
        <f t="shared" si="12"/>
        <v>2.3927261126176425E-2</v>
      </c>
      <c r="AB41" s="107">
        <v>993</v>
      </c>
      <c r="AC41" s="108">
        <f t="shared" si="13"/>
        <v>7.9199234327643961E-2</v>
      </c>
      <c r="AD41" s="107">
        <v>1637</v>
      </c>
      <c r="AE41" s="108">
        <f t="shared" si="14"/>
        <v>0.13056308821183601</v>
      </c>
      <c r="AF41" s="107">
        <v>14015</v>
      </c>
      <c r="AG41" s="107">
        <v>762</v>
      </c>
      <c r="AH41" s="108">
        <f t="shared" si="15"/>
        <v>5.4370317516946126E-2</v>
      </c>
      <c r="AI41" s="107">
        <v>6830</v>
      </c>
      <c r="AJ41" s="108">
        <f t="shared" si="16"/>
        <v>0.48733499821619691</v>
      </c>
      <c r="AK41" s="107">
        <v>235</v>
      </c>
      <c r="AL41" s="108">
        <f t="shared" si="17"/>
        <v>1.6767748840528007E-2</v>
      </c>
      <c r="AM41" s="107">
        <v>4130</v>
      </c>
      <c r="AN41" s="108">
        <f t="shared" si="18"/>
        <v>0.29468426685693899</v>
      </c>
      <c r="AO41" s="107">
        <v>2058</v>
      </c>
      <c r="AP41" s="108">
        <f t="shared" si="19"/>
        <v>0.14684266856938993</v>
      </c>
      <c r="AQ41" s="107">
        <f t="shared" si="20"/>
        <v>26553</v>
      </c>
      <c r="AR41" s="107">
        <f t="shared" si="21"/>
        <v>1406</v>
      </c>
      <c r="AS41" s="108">
        <f t="shared" si="22"/>
        <v>5.2950702368847212E-2</v>
      </c>
      <c r="AT41" s="107">
        <f t="shared" si="23"/>
        <v>15794</v>
      </c>
      <c r="AU41" s="108">
        <f t="shared" si="24"/>
        <v>0.59481037924151692</v>
      </c>
      <c r="AV41" s="107">
        <f t="shared" si="25"/>
        <v>535</v>
      </c>
      <c r="AW41" s="108">
        <f t="shared" si="26"/>
        <v>2.0148382480322375E-2</v>
      </c>
      <c r="AX41" s="107">
        <f t="shared" si="27"/>
        <v>5123</v>
      </c>
      <c r="AY41" s="108">
        <f t="shared" si="28"/>
        <v>0.19293488494708697</v>
      </c>
      <c r="AZ41" s="107">
        <f t="shared" si="29"/>
        <v>3695</v>
      </c>
      <c r="BA41" s="108">
        <f t="shared" si="30"/>
        <v>0.13915565096222648</v>
      </c>
      <c r="BB41" s="111">
        <v>12361</v>
      </c>
      <c r="BC41" s="111">
        <v>3701</v>
      </c>
      <c r="BD41" s="152">
        <f t="shared" si="31"/>
        <v>0.2994094328937788</v>
      </c>
      <c r="BE41" s="111">
        <v>13499</v>
      </c>
      <c r="BF41" s="111">
        <v>4179</v>
      </c>
      <c r="BG41" s="152">
        <f t="shared" si="0"/>
        <v>0.3095784872953552</v>
      </c>
      <c r="BH41" s="153">
        <f t="shared" si="32"/>
        <v>25860</v>
      </c>
      <c r="BI41" s="153">
        <f t="shared" si="33"/>
        <v>7880</v>
      </c>
      <c r="BJ41" s="154">
        <f t="shared" si="34"/>
        <v>0.30471771075019333</v>
      </c>
      <c r="BK41" s="107">
        <v>26553</v>
      </c>
      <c r="BL41" s="107">
        <v>7367</v>
      </c>
      <c r="BM41" s="108">
        <f t="shared" si="87"/>
        <v>0.27744510978043913</v>
      </c>
      <c r="BN41" s="107">
        <v>12538</v>
      </c>
      <c r="BO41" s="107">
        <v>2263</v>
      </c>
      <c r="BP41" s="108">
        <f t="shared" si="35"/>
        <v>0.18049130642845748</v>
      </c>
      <c r="BQ41" s="107">
        <v>14015</v>
      </c>
      <c r="BR41" s="107">
        <v>5104</v>
      </c>
      <c r="BS41" s="108">
        <f t="shared" si="36"/>
        <v>0.36418123439172317</v>
      </c>
      <c r="BT41" s="113">
        <v>139091</v>
      </c>
      <c r="BU41" s="113">
        <v>28126</v>
      </c>
      <c r="BV41" s="156">
        <f t="shared" si="37"/>
        <v>0.20221293973010476</v>
      </c>
      <c r="BW41" s="156">
        <f t="shared" si="38"/>
        <v>1</v>
      </c>
      <c r="BX41" s="113">
        <v>120120</v>
      </c>
      <c r="BY41" s="113">
        <v>27143</v>
      </c>
      <c r="BZ41" s="156">
        <f t="shared" si="39"/>
        <v>0.22596570096570096</v>
      </c>
      <c r="CA41" s="156">
        <f t="shared" si="40"/>
        <v>0.96505013155087815</v>
      </c>
      <c r="CB41" s="113">
        <v>1381</v>
      </c>
      <c r="CC41" s="113">
        <v>57</v>
      </c>
      <c r="CD41" s="156">
        <f t="shared" si="41"/>
        <v>4.1274438812454746E-2</v>
      </c>
      <c r="CE41" s="156">
        <f t="shared" si="88"/>
        <v>2.0265946099694231E-3</v>
      </c>
      <c r="CF41" s="113">
        <v>653</v>
      </c>
      <c r="CG41" s="113">
        <v>97</v>
      </c>
      <c r="CH41" s="156">
        <f t="shared" si="42"/>
        <v>0.14854517611026033</v>
      </c>
      <c r="CI41" s="156">
        <f t="shared" si="43"/>
        <v>3.448766266088317E-3</v>
      </c>
      <c r="CJ41" s="113">
        <v>9124</v>
      </c>
      <c r="CK41" s="113">
        <v>542</v>
      </c>
      <c r="CL41" s="161">
        <f t="shared" si="44"/>
        <v>5.9403770276194652E-2</v>
      </c>
      <c r="CM41" s="156">
        <f t="shared" si="45"/>
        <v>1.9270425940411007E-2</v>
      </c>
      <c r="CN41" s="113">
        <v>43</v>
      </c>
      <c r="CO41" s="113">
        <v>7</v>
      </c>
      <c r="CP41" s="161">
        <f t="shared" si="46"/>
        <v>0.16279069767441862</v>
      </c>
      <c r="CQ41" s="156">
        <f t="shared" si="47"/>
        <v>2.4888003982080636E-4</v>
      </c>
      <c r="CR41" s="105">
        <v>364</v>
      </c>
      <c r="CS41" s="105">
        <v>0</v>
      </c>
      <c r="CT41" s="106">
        <f t="shared" si="48"/>
        <v>0</v>
      </c>
      <c r="CU41" s="106">
        <f t="shared" si="49"/>
        <v>0</v>
      </c>
      <c r="CV41" s="113">
        <v>2309</v>
      </c>
      <c r="CW41" s="113">
        <v>78</v>
      </c>
      <c r="CX41" s="156">
        <f t="shared" si="50"/>
        <v>3.3780857514075356E-2</v>
      </c>
      <c r="CY41" s="156">
        <f t="shared" si="51"/>
        <v>2.7732347294318425E-3</v>
      </c>
      <c r="CZ41" s="113">
        <v>5461</v>
      </c>
      <c r="DA41" s="113">
        <v>202</v>
      </c>
      <c r="DB41" s="156">
        <f t="shared" si="52"/>
        <v>3.6989562351217725E-2</v>
      </c>
      <c r="DC41" s="156">
        <f t="shared" si="89"/>
        <v>7.1819668634004125E-3</v>
      </c>
      <c r="DD41" s="107">
        <v>12538</v>
      </c>
      <c r="DE41" s="107">
        <v>961</v>
      </c>
      <c r="DF41" s="107">
        <v>5321</v>
      </c>
      <c r="DG41" s="107">
        <v>3422</v>
      </c>
      <c r="DH41" s="107">
        <v>2834</v>
      </c>
      <c r="DI41" s="149">
        <f t="shared" si="53"/>
        <v>7.6646993140851813E-2</v>
      </c>
      <c r="DJ41" s="149">
        <f t="shared" si="54"/>
        <v>0.4243898548412825</v>
      </c>
      <c r="DK41" s="149">
        <f t="shared" si="55"/>
        <v>0.49896315201786567</v>
      </c>
      <c r="DL41" s="107">
        <v>14015</v>
      </c>
      <c r="DM41" s="107">
        <v>1105</v>
      </c>
      <c r="DN41" s="107">
        <v>6489</v>
      </c>
      <c r="DO41" s="107">
        <v>3796</v>
      </c>
      <c r="DP41" s="107">
        <v>2625</v>
      </c>
      <c r="DQ41" s="149">
        <f t="shared" si="56"/>
        <v>7.8844095611844453E-2</v>
      </c>
      <c r="DR41" s="149">
        <f t="shared" si="57"/>
        <v>0.46300392436674992</v>
      </c>
      <c r="DS41" s="149">
        <f t="shared" si="58"/>
        <v>0.45815198002140561</v>
      </c>
      <c r="DT41" s="107">
        <f t="shared" si="59"/>
        <v>26553</v>
      </c>
      <c r="DU41" s="107">
        <f t="shared" si="60"/>
        <v>2066</v>
      </c>
      <c r="DV41" s="107">
        <f t="shared" si="61"/>
        <v>11810</v>
      </c>
      <c r="DW41" s="107">
        <f t="shared" si="62"/>
        <v>7218</v>
      </c>
      <c r="DX41" s="107">
        <f t="shared" si="63"/>
        <v>5459</v>
      </c>
      <c r="DY41" s="108">
        <f t="shared" si="64"/>
        <v>7.7806650849244902E-2</v>
      </c>
      <c r="DZ41" s="108">
        <f t="shared" si="65"/>
        <v>0.44477083568711634</v>
      </c>
      <c r="EA41" s="108">
        <f t="shared" si="66"/>
        <v>0.47742251346363879</v>
      </c>
      <c r="EB41" s="107">
        <v>16959</v>
      </c>
      <c r="EC41" s="110">
        <v>1393</v>
      </c>
      <c r="ED41" s="108">
        <f t="shared" si="67"/>
        <v>8.2139277080016504E-2</v>
      </c>
      <c r="EE41" s="107">
        <v>3026</v>
      </c>
      <c r="EF41" s="108">
        <f t="shared" si="67"/>
        <v>0.1784303319771213</v>
      </c>
      <c r="EG41" s="107">
        <v>5571</v>
      </c>
      <c r="EH41" s="108">
        <f t="shared" ref="EH41" si="335">EG41/$EB41</f>
        <v>0.32849814257916149</v>
      </c>
      <c r="EI41" s="107">
        <v>7985</v>
      </c>
      <c r="EJ41" s="108">
        <f t="shared" ref="EJ41" si="336">EI41/$EB41</f>
        <v>0.4708414411227077</v>
      </c>
      <c r="EK41" s="107">
        <v>11563</v>
      </c>
      <c r="EL41" s="108">
        <f t="shared" ref="EL41" si="337">EK41/$EB41</f>
        <v>0.68182086207913206</v>
      </c>
      <c r="EM41" s="107">
        <v>13906</v>
      </c>
      <c r="EN41" s="108">
        <f t="shared" ref="EN41" si="338">EM41/$EB41</f>
        <v>0.8199775930184563</v>
      </c>
      <c r="EO41" s="163">
        <v>77884</v>
      </c>
      <c r="EP41" s="163">
        <v>66385</v>
      </c>
      <c r="EQ41" s="163">
        <v>91686</v>
      </c>
      <c r="ER41" s="163">
        <v>98098</v>
      </c>
      <c r="ES41" s="163">
        <v>53258</v>
      </c>
      <c r="ET41" s="107">
        <v>12361</v>
      </c>
      <c r="EU41" s="107">
        <v>850</v>
      </c>
      <c r="EV41" s="108">
        <f t="shared" si="72"/>
        <v>6.8764663053151043E-2</v>
      </c>
      <c r="EW41" s="107">
        <v>13499</v>
      </c>
      <c r="EX41" s="107">
        <v>1517</v>
      </c>
      <c r="EY41" s="108">
        <f t="shared" si="73"/>
        <v>0.11237869471812727</v>
      </c>
      <c r="EZ41" s="107">
        <f t="shared" si="74"/>
        <v>25860</v>
      </c>
      <c r="FA41" s="107">
        <f t="shared" si="75"/>
        <v>2367</v>
      </c>
      <c r="FB41" s="108">
        <f t="shared" si="76"/>
        <v>9.1531322505800469E-2</v>
      </c>
      <c r="FC41" s="107">
        <v>25860</v>
      </c>
      <c r="FD41" s="107">
        <v>2367</v>
      </c>
      <c r="FE41" s="108">
        <f t="shared" si="77"/>
        <v>9.1531322505800469E-2</v>
      </c>
      <c r="FF41" s="107">
        <v>4185</v>
      </c>
      <c r="FG41" s="108">
        <f t="shared" si="77"/>
        <v>0.16183294663573086</v>
      </c>
      <c r="FH41" s="107">
        <v>5879</v>
      </c>
      <c r="FI41" s="108">
        <f t="shared" ref="FI41" si="339">FH41/$FC41</f>
        <v>0.22733952049497294</v>
      </c>
      <c r="FJ41" s="107">
        <v>6726</v>
      </c>
      <c r="FK41" s="108">
        <f t="shared" ref="FK41" si="340">FJ41/$FC41</f>
        <v>0.26009280742459395</v>
      </c>
      <c r="FL41" s="107">
        <v>12322</v>
      </c>
      <c r="FM41" s="108">
        <f t="shared" ref="FM41" si="341">FL41/$FC41</f>
        <v>0.47648878576952824</v>
      </c>
      <c r="FN41" s="107">
        <v>1868</v>
      </c>
      <c r="FO41" s="108">
        <v>0.2420002591009198</v>
      </c>
      <c r="FP41" s="107">
        <v>39</v>
      </c>
      <c r="FQ41" s="108">
        <v>5.0524679362611733E-3</v>
      </c>
      <c r="FR41" s="107">
        <v>314</v>
      </c>
      <c r="FS41" s="108">
        <v>6.51587466279311E-2</v>
      </c>
      <c r="FT41" s="110">
        <v>6</v>
      </c>
      <c r="FU41" s="108">
        <v>1.2450715916165179E-3</v>
      </c>
      <c r="FV41" s="107">
        <v>1740</v>
      </c>
      <c r="FW41" s="108">
        <v>0.22236421725239616</v>
      </c>
      <c r="FX41" s="107">
        <v>62</v>
      </c>
      <c r="FY41" s="108">
        <v>7.9233226837060709E-3</v>
      </c>
      <c r="FZ41" s="107">
        <v>221</v>
      </c>
      <c r="GA41" s="108">
        <v>3.5702746365105009E-2</v>
      </c>
      <c r="GB41" s="107">
        <v>0</v>
      </c>
      <c r="GC41" s="108">
        <v>0</v>
      </c>
      <c r="GD41" s="107">
        <v>4143</v>
      </c>
      <c r="GE41" s="117">
        <v>0.15602756750649643</v>
      </c>
      <c r="GF41" s="107">
        <v>107</v>
      </c>
      <c r="GG41" s="117">
        <v>4.0296764960644745E-3</v>
      </c>
      <c r="GH41" s="107">
        <v>16959</v>
      </c>
      <c r="GI41" s="107">
        <v>3735</v>
      </c>
      <c r="GJ41" s="108">
        <f t="shared" si="81"/>
        <v>0.22023704227843624</v>
      </c>
      <c r="GK41" s="107">
        <v>1287</v>
      </c>
      <c r="GL41" s="108">
        <f t="shared" si="82"/>
        <v>0.34457831325301203</v>
      </c>
      <c r="GM41" s="107">
        <v>2091</v>
      </c>
      <c r="GN41" s="108">
        <f t="shared" si="83"/>
        <v>0.55983935742971891</v>
      </c>
      <c r="GO41" s="107">
        <v>13224</v>
      </c>
      <c r="GP41" s="108">
        <f t="shared" si="84"/>
        <v>0.77976295772156379</v>
      </c>
      <c r="GQ41" s="107">
        <v>10680</v>
      </c>
      <c r="GR41" s="108">
        <f t="shared" si="85"/>
        <v>0.80762250453720508</v>
      </c>
      <c r="GS41" s="107">
        <v>2480</v>
      </c>
      <c r="GT41" s="108">
        <f t="shared" si="86"/>
        <v>0.18753781004234724</v>
      </c>
    </row>
    <row r="42" spans="1:202" x14ac:dyDescent="0.25">
      <c r="A42" s="104" t="s">
        <v>214</v>
      </c>
      <c r="B42" s="143">
        <v>42046</v>
      </c>
      <c r="C42" s="143">
        <v>14539</v>
      </c>
      <c r="D42" s="143">
        <v>10636</v>
      </c>
      <c r="E42" s="143">
        <v>4315</v>
      </c>
      <c r="F42" s="143">
        <v>1294</v>
      </c>
      <c r="G42" s="144">
        <f t="shared" si="2"/>
        <v>0.34578794653474765</v>
      </c>
      <c r="H42" s="144">
        <f t="shared" si="3"/>
        <v>0.25296104266755459</v>
      </c>
      <c r="I42" s="144">
        <f t="shared" si="4"/>
        <v>0.10262569566665081</v>
      </c>
      <c r="J42" s="144">
        <f t="shared" si="5"/>
        <v>3.0775816962374542E-2</v>
      </c>
      <c r="K42" s="143">
        <v>5177</v>
      </c>
      <c r="L42" s="145">
        <f t="shared" si="6"/>
        <v>0.4867431365174878</v>
      </c>
      <c r="M42" s="143">
        <v>5459</v>
      </c>
      <c r="N42" s="145">
        <f t="shared" si="7"/>
        <v>0.5132568634825122</v>
      </c>
      <c r="O42" s="148">
        <v>48.7</v>
      </c>
      <c r="P42" s="107">
        <v>19051</v>
      </c>
      <c r="Q42" s="107">
        <v>9778</v>
      </c>
      <c r="R42" s="108">
        <f t="shared" si="8"/>
        <v>0.5132538974332056</v>
      </c>
      <c r="S42" s="107">
        <v>7503</v>
      </c>
      <c r="T42" s="149">
        <f t="shared" si="9"/>
        <v>0.39383759382709571</v>
      </c>
      <c r="U42" s="143">
        <v>5177</v>
      </c>
      <c r="V42" s="107">
        <v>323</v>
      </c>
      <c r="W42" s="108">
        <f t="shared" si="10"/>
        <v>6.2391346339578907E-2</v>
      </c>
      <c r="X42" s="107">
        <v>3347</v>
      </c>
      <c r="Y42" s="150">
        <f t="shared" si="11"/>
        <v>0.64651342476337648</v>
      </c>
      <c r="Z42" s="107">
        <v>261</v>
      </c>
      <c r="AA42" s="108">
        <f t="shared" si="12"/>
        <v>5.0415298435387293E-2</v>
      </c>
      <c r="AB42" s="107">
        <v>463</v>
      </c>
      <c r="AC42" s="108">
        <f t="shared" si="13"/>
        <v>8.9434035155495459E-2</v>
      </c>
      <c r="AD42" s="107">
        <v>783</v>
      </c>
      <c r="AE42" s="108">
        <f t="shared" si="14"/>
        <v>0.15124589530616186</v>
      </c>
      <c r="AF42" s="107">
        <v>5459</v>
      </c>
      <c r="AG42" s="107">
        <v>159</v>
      </c>
      <c r="AH42" s="108">
        <f t="shared" si="15"/>
        <v>2.9126213592233011E-2</v>
      </c>
      <c r="AI42" s="107">
        <v>3063</v>
      </c>
      <c r="AJ42" s="108">
        <f t="shared" si="16"/>
        <v>0.56109177505037555</v>
      </c>
      <c r="AK42" s="107">
        <v>152</v>
      </c>
      <c r="AL42" s="108">
        <f t="shared" si="17"/>
        <v>2.7843927459241618E-2</v>
      </c>
      <c r="AM42" s="107">
        <v>1551</v>
      </c>
      <c r="AN42" s="108">
        <f t="shared" si="18"/>
        <v>0.28411797032423519</v>
      </c>
      <c r="AO42" s="107">
        <v>534</v>
      </c>
      <c r="AP42" s="108">
        <f t="shared" si="19"/>
        <v>9.7820113573914638E-2</v>
      </c>
      <c r="AQ42" s="107">
        <f t="shared" si="20"/>
        <v>10636</v>
      </c>
      <c r="AR42" s="107">
        <f t="shared" si="21"/>
        <v>482</v>
      </c>
      <c r="AS42" s="108">
        <f t="shared" si="22"/>
        <v>4.531778864234675E-2</v>
      </c>
      <c r="AT42" s="107">
        <f t="shared" si="23"/>
        <v>6410</v>
      </c>
      <c r="AU42" s="108">
        <f t="shared" si="24"/>
        <v>0.6026701767581798</v>
      </c>
      <c r="AV42" s="107">
        <f t="shared" si="25"/>
        <v>413</v>
      </c>
      <c r="AW42" s="108">
        <f t="shared" si="26"/>
        <v>3.8830387363670553E-2</v>
      </c>
      <c r="AX42" s="107">
        <f t="shared" si="27"/>
        <v>2014</v>
      </c>
      <c r="AY42" s="108">
        <f t="shared" si="28"/>
        <v>0.18935690109063558</v>
      </c>
      <c r="AZ42" s="107">
        <f t="shared" si="29"/>
        <v>1317</v>
      </c>
      <c r="BA42" s="108">
        <f t="shared" si="30"/>
        <v>0.12382474614516735</v>
      </c>
      <c r="BB42" s="111">
        <v>5010</v>
      </c>
      <c r="BC42" s="111">
        <v>1727</v>
      </c>
      <c r="BD42" s="152">
        <f t="shared" si="31"/>
        <v>0.34471057884231537</v>
      </c>
      <c r="BE42" s="111">
        <v>5236</v>
      </c>
      <c r="BF42" s="111">
        <v>1247</v>
      </c>
      <c r="BG42" s="152">
        <f t="shared" si="0"/>
        <v>0.23815889992360581</v>
      </c>
      <c r="BH42" s="153">
        <f t="shared" si="32"/>
        <v>10246</v>
      </c>
      <c r="BI42" s="153">
        <f t="shared" si="33"/>
        <v>2974</v>
      </c>
      <c r="BJ42" s="154">
        <f t="shared" si="34"/>
        <v>0.29025961350771035</v>
      </c>
      <c r="BK42" s="107">
        <v>10636</v>
      </c>
      <c r="BL42" s="107">
        <v>2876</v>
      </c>
      <c r="BM42" s="108">
        <f t="shared" si="87"/>
        <v>0.2704024069198947</v>
      </c>
      <c r="BN42" s="107">
        <v>5177</v>
      </c>
      <c r="BO42" s="107">
        <v>1327</v>
      </c>
      <c r="BP42" s="108">
        <f t="shared" si="35"/>
        <v>0.25632605756229476</v>
      </c>
      <c r="BQ42" s="107">
        <v>5459</v>
      </c>
      <c r="BR42" s="107">
        <v>1549</v>
      </c>
      <c r="BS42" s="108">
        <f t="shared" si="36"/>
        <v>0.28375160285766626</v>
      </c>
      <c r="BT42" s="113">
        <v>42343</v>
      </c>
      <c r="BU42" s="113">
        <v>11155</v>
      </c>
      <c r="BV42" s="156">
        <f t="shared" si="37"/>
        <v>0.26344378055404671</v>
      </c>
      <c r="BW42" s="156">
        <f t="shared" si="38"/>
        <v>1</v>
      </c>
      <c r="BX42" s="113">
        <v>39498</v>
      </c>
      <c r="BY42" s="113">
        <v>10858</v>
      </c>
      <c r="BZ42" s="156">
        <f t="shared" si="39"/>
        <v>0.27489999493645245</v>
      </c>
      <c r="CA42" s="156">
        <f t="shared" si="40"/>
        <v>0.97337516808606006</v>
      </c>
      <c r="CB42" s="113">
        <v>328</v>
      </c>
      <c r="CC42" s="113">
        <v>17</v>
      </c>
      <c r="CD42" s="156">
        <f t="shared" si="41"/>
        <v>5.1829268292682924E-2</v>
      </c>
      <c r="CE42" s="156">
        <f t="shared" si="88"/>
        <v>1.5239802779022859E-3</v>
      </c>
      <c r="CF42" s="113">
        <v>306</v>
      </c>
      <c r="CG42" s="113">
        <v>72</v>
      </c>
      <c r="CH42" s="156">
        <f t="shared" si="42"/>
        <v>0.23529411764705882</v>
      </c>
      <c r="CI42" s="156">
        <f t="shared" si="43"/>
        <v>6.4545047064096814E-3</v>
      </c>
      <c r="CJ42" s="113">
        <v>237</v>
      </c>
      <c r="CK42" s="113">
        <v>41</v>
      </c>
      <c r="CL42" s="161">
        <f t="shared" si="44"/>
        <v>0.1729957805907173</v>
      </c>
      <c r="CM42" s="156">
        <f t="shared" si="45"/>
        <v>3.6754818467055134E-3</v>
      </c>
      <c r="CN42" s="113">
        <v>12</v>
      </c>
      <c r="CO42" s="113">
        <v>4</v>
      </c>
      <c r="CP42" s="161">
        <f t="shared" si="46"/>
        <v>0.33333333333333331</v>
      </c>
      <c r="CQ42" s="156">
        <f t="shared" si="47"/>
        <v>3.5858359480053786E-4</v>
      </c>
      <c r="CR42" s="105">
        <v>227</v>
      </c>
      <c r="CS42" s="105">
        <v>0</v>
      </c>
      <c r="CT42" s="106">
        <f t="shared" si="48"/>
        <v>0</v>
      </c>
      <c r="CU42" s="106">
        <f t="shared" si="49"/>
        <v>0</v>
      </c>
      <c r="CV42" s="113">
        <v>548</v>
      </c>
      <c r="CW42" s="113">
        <v>56</v>
      </c>
      <c r="CX42" s="156">
        <f t="shared" si="50"/>
        <v>0.10218978102189781</v>
      </c>
      <c r="CY42" s="156">
        <f t="shared" si="51"/>
        <v>5.0201703272075302E-3</v>
      </c>
      <c r="CZ42" s="113">
        <v>1414</v>
      </c>
      <c r="DA42" s="113">
        <v>107</v>
      </c>
      <c r="DB42" s="156">
        <f t="shared" si="52"/>
        <v>7.5671852899575676E-2</v>
      </c>
      <c r="DC42" s="156">
        <f t="shared" si="89"/>
        <v>9.5921111609143881E-3</v>
      </c>
      <c r="DD42" s="107">
        <v>5177</v>
      </c>
      <c r="DE42" s="107">
        <v>445</v>
      </c>
      <c r="DF42" s="107">
        <v>2117</v>
      </c>
      <c r="DG42" s="107">
        <v>1753</v>
      </c>
      <c r="DH42" s="107">
        <v>862</v>
      </c>
      <c r="DI42" s="149">
        <f t="shared" si="53"/>
        <v>8.5957118022020482E-2</v>
      </c>
      <c r="DJ42" s="149">
        <f t="shared" si="54"/>
        <v>0.40892408730925245</v>
      </c>
      <c r="DK42" s="149">
        <f t="shared" si="55"/>
        <v>0.50511879466872711</v>
      </c>
      <c r="DL42" s="107">
        <v>5459</v>
      </c>
      <c r="DM42" s="107">
        <v>480</v>
      </c>
      <c r="DN42" s="107">
        <v>2443</v>
      </c>
      <c r="DO42" s="107">
        <v>1492</v>
      </c>
      <c r="DP42" s="107">
        <v>1044</v>
      </c>
      <c r="DQ42" s="149">
        <f t="shared" si="56"/>
        <v>8.7928191976552481E-2</v>
      </c>
      <c r="DR42" s="149">
        <f t="shared" si="57"/>
        <v>0.44751786041399522</v>
      </c>
      <c r="DS42" s="149">
        <f t="shared" si="58"/>
        <v>0.46455394760945229</v>
      </c>
      <c r="DT42" s="107">
        <f t="shared" si="59"/>
        <v>10636</v>
      </c>
      <c r="DU42" s="107">
        <f t="shared" si="60"/>
        <v>925</v>
      </c>
      <c r="DV42" s="107">
        <f t="shared" si="61"/>
        <v>4560</v>
      </c>
      <c r="DW42" s="107">
        <f t="shared" si="62"/>
        <v>3245</v>
      </c>
      <c r="DX42" s="107">
        <f t="shared" si="63"/>
        <v>1906</v>
      </c>
      <c r="DY42" s="108">
        <f t="shared" si="64"/>
        <v>8.6968785257615644E-2</v>
      </c>
      <c r="DZ42" s="108">
        <f t="shared" si="65"/>
        <v>0.42873260624294846</v>
      </c>
      <c r="EA42" s="108">
        <f t="shared" si="66"/>
        <v>0.4842986084994359</v>
      </c>
      <c r="EB42" s="107">
        <v>6882</v>
      </c>
      <c r="EC42" s="110">
        <v>494</v>
      </c>
      <c r="ED42" s="108">
        <f t="shared" si="67"/>
        <v>7.1781458878233076E-2</v>
      </c>
      <c r="EE42" s="107">
        <v>1422</v>
      </c>
      <c r="EF42" s="108">
        <f t="shared" si="67"/>
        <v>0.20662598081952921</v>
      </c>
      <c r="EG42" s="107">
        <v>2392</v>
      </c>
      <c r="EH42" s="108">
        <f t="shared" ref="EH42" si="342">EG42/$EB42</f>
        <v>0.34757337983144437</v>
      </c>
      <c r="EI42" s="107">
        <v>3547</v>
      </c>
      <c r="EJ42" s="108">
        <f t="shared" ref="EJ42" si="343">EI42/$EB42</f>
        <v>0.51540249927346704</v>
      </c>
      <c r="EK42" s="107">
        <v>5282</v>
      </c>
      <c r="EL42" s="108">
        <f t="shared" ref="EL42" si="344">EK42/$EB42</f>
        <v>0.7675094449287998</v>
      </c>
      <c r="EM42" s="107">
        <v>6053</v>
      </c>
      <c r="EN42" s="108">
        <f t="shared" ref="EN42" si="345">EM42/$EB42</f>
        <v>0.87954083115373438</v>
      </c>
      <c r="EO42" s="163">
        <v>63809</v>
      </c>
      <c r="EP42" s="163">
        <v>50564</v>
      </c>
      <c r="EQ42" s="163">
        <v>81821</v>
      </c>
      <c r="ER42" s="163">
        <v>76825</v>
      </c>
      <c r="ES42" s="163">
        <v>48134</v>
      </c>
      <c r="ET42" s="107">
        <v>5010</v>
      </c>
      <c r="EU42" s="107">
        <v>471</v>
      </c>
      <c r="EV42" s="108">
        <f t="shared" si="72"/>
        <v>9.4011976047904192E-2</v>
      </c>
      <c r="EW42" s="107">
        <v>5236</v>
      </c>
      <c r="EX42" s="107">
        <v>472</v>
      </c>
      <c r="EY42" s="108">
        <f t="shared" si="73"/>
        <v>9.0145148968678382E-2</v>
      </c>
      <c r="EZ42" s="107">
        <f t="shared" si="74"/>
        <v>10246</v>
      </c>
      <c r="FA42" s="107">
        <f t="shared" si="75"/>
        <v>943</v>
      </c>
      <c r="FB42" s="108">
        <f t="shared" si="76"/>
        <v>9.2035916455202024E-2</v>
      </c>
      <c r="FC42" s="107">
        <v>10246</v>
      </c>
      <c r="FD42" s="107">
        <v>943</v>
      </c>
      <c r="FE42" s="108">
        <f t="shared" si="77"/>
        <v>9.2035916455202024E-2</v>
      </c>
      <c r="FF42" s="107">
        <v>1934</v>
      </c>
      <c r="FG42" s="108">
        <f t="shared" si="77"/>
        <v>0.18875658793675582</v>
      </c>
      <c r="FH42" s="107">
        <v>2925</v>
      </c>
      <c r="FI42" s="108">
        <f t="shared" ref="FI42" si="346">FH42/$FC42</f>
        <v>0.28547725941830959</v>
      </c>
      <c r="FJ42" s="107">
        <v>3403</v>
      </c>
      <c r="FK42" s="108">
        <f t="shared" ref="FK42" si="347">FJ42/$FC42</f>
        <v>0.33212961155572907</v>
      </c>
      <c r="FL42" s="107">
        <v>5769</v>
      </c>
      <c r="FM42" s="108">
        <f t="shared" ref="FM42" si="348">FL42/$FC42</f>
        <v>0.56304899472965064</v>
      </c>
      <c r="FN42" s="107">
        <v>509</v>
      </c>
      <c r="FO42" s="108">
        <v>0.1579764121663563</v>
      </c>
      <c r="FP42" s="107">
        <v>18</v>
      </c>
      <c r="FQ42" s="108">
        <v>5.5865921787709499E-3</v>
      </c>
      <c r="FR42" s="107">
        <v>102</v>
      </c>
      <c r="FS42" s="108">
        <v>5.2173913043478258E-2</v>
      </c>
      <c r="FT42" s="110">
        <v>18</v>
      </c>
      <c r="FU42" s="108">
        <v>9.2071611253196923E-3</v>
      </c>
      <c r="FV42" s="107">
        <v>708</v>
      </c>
      <c r="FW42" s="108">
        <v>0.22846079380445306</v>
      </c>
      <c r="FX42" s="107">
        <v>8</v>
      </c>
      <c r="FY42" s="108">
        <v>2.5814778960955146E-3</v>
      </c>
      <c r="FZ42" s="107">
        <v>65</v>
      </c>
      <c r="GA42" s="108">
        <v>2.7542372881355932E-2</v>
      </c>
      <c r="GB42" s="107">
        <v>0</v>
      </c>
      <c r="GC42" s="108">
        <v>0</v>
      </c>
      <c r="GD42" s="107">
        <v>1384</v>
      </c>
      <c r="GE42" s="117">
        <v>0.13012410680707032</v>
      </c>
      <c r="GF42" s="107">
        <v>44</v>
      </c>
      <c r="GG42" s="117">
        <v>4.1368935690109061E-3</v>
      </c>
      <c r="GH42" s="107">
        <v>6882</v>
      </c>
      <c r="GI42" s="107">
        <v>1057</v>
      </c>
      <c r="GJ42" s="108">
        <f t="shared" si="81"/>
        <v>0.15358907294391166</v>
      </c>
      <c r="GK42" s="107">
        <v>526</v>
      </c>
      <c r="GL42" s="108">
        <f t="shared" si="82"/>
        <v>0.49763481551561023</v>
      </c>
      <c r="GM42" s="107">
        <v>374</v>
      </c>
      <c r="GN42" s="108">
        <f t="shared" si="83"/>
        <v>0.35383159886471144</v>
      </c>
      <c r="GO42" s="107">
        <v>5825</v>
      </c>
      <c r="GP42" s="108">
        <f t="shared" si="84"/>
        <v>0.84641092705608834</v>
      </c>
      <c r="GQ42" s="107">
        <v>4630</v>
      </c>
      <c r="GR42" s="108">
        <f t="shared" si="85"/>
        <v>0.79484978540772533</v>
      </c>
      <c r="GS42" s="107">
        <v>1189</v>
      </c>
      <c r="GT42" s="108">
        <f t="shared" si="86"/>
        <v>0.20412017167381974</v>
      </c>
    </row>
    <row r="43" spans="1:202" x14ac:dyDescent="0.25">
      <c r="A43" s="104" t="s">
        <v>215</v>
      </c>
      <c r="B43" s="143">
        <v>15746</v>
      </c>
      <c r="C43" s="143">
        <v>5739</v>
      </c>
      <c r="D43" s="143">
        <v>4183</v>
      </c>
      <c r="E43" s="143">
        <v>1567</v>
      </c>
      <c r="F43" s="143">
        <v>419</v>
      </c>
      <c r="G43" s="144">
        <f t="shared" si="2"/>
        <v>0.36447351708370379</v>
      </c>
      <c r="H43" s="144">
        <f t="shared" si="3"/>
        <v>0.26565476946526101</v>
      </c>
      <c r="I43" s="144">
        <f t="shared" si="4"/>
        <v>9.9517337736568012E-2</v>
      </c>
      <c r="J43" s="144">
        <f t="shared" si="5"/>
        <v>2.6609932681315888E-2</v>
      </c>
      <c r="K43" s="143">
        <v>2105</v>
      </c>
      <c r="L43" s="145">
        <f t="shared" si="6"/>
        <v>0.50322734879273245</v>
      </c>
      <c r="M43" s="143">
        <v>2078</v>
      </c>
      <c r="N43" s="145">
        <f t="shared" si="7"/>
        <v>0.49677265120726749</v>
      </c>
      <c r="O43" s="148">
        <v>50.7</v>
      </c>
      <c r="P43" s="107">
        <v>6987</v>
      </c>
      <c r="Q43" s="107">
        <v>3978</v>
      </c>
      <c r="R43" s="108">
        <f t="shared" si="8"/>
        <v>0.56934306569343063</v>
      </c>
      <c r="S43" s="107">
        <v>3065</v>
      </c>
      <c r="T43" s="149">
        <f t="shared" si="9"/>
        <v>0.43867181909260056</v>
      </c>
      <c r="U43" s="143">
        <v>2105</v>
      </c>
      <c r="V43" s="107">
        <v>96</v>
      </c>
      <c r="W43" s="108">
        <f t="shared" si="10"/>
        <v>4.5605700712589077E-2</v>
      </c>
      <c r="X43" s="107">
        <v>1312</v>
      </c>
      <c r="Y43" s="150">
        <f t="shared" si="11"/>
        <v>0.62327790973871733</v>
      </c>
      <c r="Z43" s="107">
        <v>41</v>
      </c>
      <c r="AA43" s="108">
        <f t="shared" si="12"/>
        <v>1.9477434679334917E-2</v>
      </c>
      <c r="AB43" s="107">
        <v>316</v>
      </c>
      <c r="AC43" s="108">
        <f t="shared" si="13"/>
        <v>0.15011876484560571</v>
      </c>
      <c r="AD43" s="107">
        <v>340</v>
      </c>
      <c r="AE43" s="108">
        <f t="shared" si="14"/>
        <v>0.16152019002375298</v>
      </c>
      <c r="AF43" s="107">
        <v>2078</v>
      </c>
      <c r="AG43" s="107">
        <v>62</v>
      </c>
      <c r="AH43" s="108">
        <f t="shared" si="15"/>
        <v>2.9836381135707413E-2</v>
      </c>
      <c r="AI43" s="107">
        <v>1109</v>
      </c>
      <c r="AJ43" s="108">
        <f t="shared" si="16"/>
        <v>0.53368623676612126</v>
      </c>
      <c r="AK43" s="107">
        <v>11</v>
      </c>
      <c r="AL43" s="108">
        <f t="shared" si="17"/>
        <v>5.2935514918190565E-3</v>
      </c>
      <c r="AM43" s="107">
        <v>640</v>
      </c>
      <c r="AN43" s="108">
        <f t="shared" si="18"/>
        <v>0.30798845043310874</v>
      </c>
      <c r="AO43" s="107">
        <v>256</v>
      </c>
      <c r="AP43" s="108">
        <f t="shared" si="19"/>
        <v>0.12319538017324351</v>
      </c>
      <c r="AQ43" s="107">
        <f t="shared" si="20"/>
        <v>4183</v>
      </c>
      <c r="AR43" s="107">
        <f t="shared" si="21"/>
        <v>158</v>
      </c>
      <c r="AS43" s="108">
        <f t="shared" si="22"/>
        <v>3.7771934018646904E-2</v>
      </c>
      <c r="AT43" s="107">
        <f t="shared" si="23"/>
        <v>2421</v>
      </c>
      <c r="AU43" s="108">
        <f t="shared" si="24"/>
        <v>0.5787712168300263</v>
      </c>
      <c r="AV43" s="107">
        <f t="shared" si="25"/>
        <v>52</v>
      </c>
      <c r="AW43" s="108">
        <f t="shared" si="26"/>
        <v>1.2431269423858474E-2</v>
      </c>
      <c r="AX43" s="107">
        <f t="shared" si="27"/>
        <v>956</v>
      </c>
      <c r="AY43" s="108">
        <f t="shared" si="28"/>
        <v>0.22854410710016734</v>
      </c>
      <c r="AZ43" s="107">
        <f t="shared" si="29"/>
        <v>596</v>
      </c>
      <c r="BA43" s="108">
        <f t="shared" si="30"/>
        <v>0.14248147262730099</v>
      </c>
      <c r="BB43" s="111">
        <v>2079</v>
      </c>
      <c r="BC43" s="111">
        <v>830</v>
      </c>
      <c r="BD43" s="152">
        <f t="shared" si="31"/>
        <v>0.39923039923039921</v>
      </c>
      <c r="BE43" s="111">
        <v>2061</v>
      </c>
      <c r="BF43" s="111">
        <v>499</v>
      </c>
      <c r="BG43" s="152">
        <f t="shared" si="0"/>
        <v>0.24211547792333818</v>
      </c>
      <c r="BH43" s="153">
        <f t="shared" si="32"/>
        <v>4140</v>
      </c>
      <c r="BI43" s="153">
        <f t="shared" si="33"/>
        <v>1329</v>
      </c>
      <c r="BJ43" s="154">
        <f t="shared" si="34"/>
        <v>0.3210144927536232</v>
      </c>
      <c r="BK43" s="107">
        <v>4183</v>
      </c>
      <c r="BL43" s="107">
        <v>1177</v>
      </c>
      <c r="BM43" s="108">
        <f t="shared" si="87"/>
        <v>0.28137700215156586</v>
      </c>
      <c r="BN43" s="107">
        <v>2105</v>
      </c>
      <c r="BO43" s="107">
        <v>522</v>
      </c>
      <c r="BP43" s="108">
        <f t="shared" si="35"/>
        <v>0.24798099762470308</v>
      </c>
      <c r="BQ43" s="107">
        <v>2078</v>
      </c>
      <c r="BR43" s="107">
        <v>655</v>
      </c>
      <c r="BS43" s="108">
        <f t="shared" si="36"/>
        <v>0.31520692974013476</v>
      </c>
      <c r="BT43" s="113">
        <v>15743</v>
      </c>
      <c r="BU43" s="113">
        <v>4425</v>
      </c>
      <c r="BV43" s="156">
        <f t="shared" si="37"/>
        <v>0.28107730419869148</v>
      </c>
      <c r="BW43" s="156">
        <f t="shared" si="38"/>
        <v>1</v>
      </c>
      <c r="BX43" s="113">
        <v>14581</v>
      </c>
      <c r="BY43" s="113">
        <v>4283</v>
      </c>
      <c r="BZ43" s="156">
        <f t="shared" si="39"/>
        <v>0.29373842671970374</v>
      </c>
      <c r="CA43" s="156">
        <f t="shared" si="40"/>
        <v>0.96790960451977404</v>
      </c>
      <c r="CB43" s="113">
        <v>99</v>
      </c>
      <c r="CC43" s="113">
        <v>20</v>
      </c>
      <c r="CD43" s="156">
        <f t="shared" si="41"/>
        <v>0.20202020202020202</v>
      </c>
      <c r="CE43" s="156">
        <f t="shared" si="88"/>
        <v>4.5197740112994352E-3</v>
      </c>
      <c r="CF43" s="113">
        <v>123</v>
      </c>
      <c r="CG43" s="113">
        <v>36</v>
      </c>
      <c r="CH43" s="156">
        <f t="shared" si="42"/>
        <v>0.29268292682926828</v>
      </c>
      <c r="CI43" s="156">
        <f t="shared" si="43"/>
        <v>8.1355932203389832E-3</v>
      </c>
      <c r="CJ43" s="113">
        <v>142</v>
      </c>
      <c r="CK43" s="113">
        <v>27</v>
      </c>
      <c r="CL43" s="161">
        <f t="shared" si="44"/>
        <v>0.19014084507042253</v>
      </c>
      <c r="CM43" s="156">
        <f t="shared" si="45"/>
        <v>6.1016949152542374E-3</v>
      </c>
      <c r="CN43" s="113">
        <v>4</v>
      </c>
      <c r="CO43" s="113">
        <v>0</v>
      </c>
      <c r="CP43" s="161">
        <f t="shared" si="46"/>
        <v>0</v>
      </c>
      <c r="CQ43" s="156">
        <f t="shared" si="47"/>
        <v>0</v>
      </c>
      <c r="CR43" s="105">
        <v>152</v>
      </c>
      <c r="CS43" s="105">
        <v>0</v>
      </c>
      <c r="CT43" s="106">
        <f t="shared" si="48"/>
        <v>0</v>
      </c>
      <c r="CU43" s="106">
        <f t="shared" si="49"/>
        <v>0</v>
      </c>
      <c r="CV43" s="113">
        <v>158</v>
      </c>
      <c r="CW43" s="113">
        <v>17</v>
      </c>
      <c r="CX43" s="156">
        <f t="shared" si="50"/>
        <v>0.10759493670886076</v>
      </c>
      <c r="CY43" s="156">
        <f t="shared" si="51"/>
        <v>3.8418079096045198E-3</v>
      </c>
      <c r="CZ43" s="113">
        <v>636</v>
      </c>
      <c r="DA43" s="113">
        <v>42</v>
      </c>
      <c r="DB43" s="156">
        <f t="shared" si="52"/>
        <v>6.6037735849056603E-2</v>
      </c>
      <c r="DC43" s="156">
        <f t="shared" si="89"/>
        <v>9.4915254237288131E-3</v>
      </c>
      <c r="DD43" s="107">
        <v>2105</v>
      </c>
      <c r="DE43" s="107">
        <v>195</v>
      </c>
      <c r="DF43" s="107">
        <v>949</v>
      </c>
      <c r="DG43" s="107">
        <v>681</v>
      </c>
      <c r="DH43" s="107">
        <v>280</v>
      </c>
      <c r="DI43" s="149">
        <f t="shared" si="53"/>
        <v>9.2636579572446559E-2</v>
      </c>
      <c r="DJ43" s="149">
        <f t="shared" si="54"/>
        <v>0.4508313539192399</v>
      </c>
      <c r="DK43" s="149">
        <f t="shared" si="55"/>
        <v>0.45653206650831352</v>
      </c>
      <c r="DL43" s="107">
        <v>2078</v>
      </c>
      <c r="DM43" s="107">
        <v>150</v>
      </c>
      <c r="DN43" s="107">
        <v>1047</v>
      </c>
      <c r="DO43" s="107">
        <v>576</v>
      </c>
      <c r="DP43" s="107">
        <v>305</v>
      </c>
      <c r="DQ43" s="149">
        <f t="shared" si="56"/>
        <v>7.2184793070259864E-2</v>
      </c>
      <c r="DR43" s="149">
        <f t="shared" si="57"/>
        <v>0.50384985563041385</v>
      </c>
      <c r="DS43" s="149">
        <f t="shared" si="58"/>
        <v>0.42396535129932628</v>
      </c>
      <c r="DT43" s="107">
        <f t="shared" si="59"/>
        <v>4183</v>
      </c>
      <c r="DU43" s="107">
        <f t="shared" si="60"/>
        <v>345</v>
      </c>
      <c r="DV43" s="107">
        <f t="shared" si="61"/>
        <v>1996</v>
      </c>
      <c r="DW43" s="107">
        <f t="shared" si="62"/>
        <v>1257</v>
      </c>
      <c r="DX43" s="107">
        <f t="shared" si="63"/>
        <v>585</v>
      </c>
      <c r="DY43" s="108">
        <f t="shared" si="64"/>
        <v>8.2476691369830268E-2</v>
      </c>
      <c r="DZ43" s="108">
        <f t="shared" si="65"/>
        <v>0.47716949557733684</v>
      </c>
      <c r="EA43" s="108">
        <f t="shared" si="66"/>
        <v>0.44035381305283289</v>
      </c>
      <c r="EB43" s="107">
        <v>2802</v>
      </c>
      <c r="EC43" s="110">
        <v>229</v>
      </c>
      <c r="ED43" s="108">
        <f t="shared" si="67"/>
        <v>8.1727337615988577E-2</v>
      </c>
      <c r="EE43" s="107">
        <v>462</v>
      </c>
      <c r="EF43" s="108">
        <f t="shared" si="67"/>
        <v>0.16488222698072805</v>
      </c>
      <c r="EG43" s="107">
        <v>939</v>
      </c>
      <c r="EH43" s="108">
        <f t="shared" ref="EH43" si="349">EG43/$EB43</f>
        <v>0.33511777301927193</v>
      </c>
      <c r="EI43" s="107">
        <v>1309</v>
      </c>
      <c r="EJ43" s="108">
        <f t="shared" ref="EJ43" si="350">EI43/$EB43</f>
        <v>0.46716630977872947</v>
      </c>
      <c r="EK43" s="107">
        <v>1994</v>
      </c>
      <c r="EL43" s="108">
        <f t="shared" ref="EL43" si="351">EK43/$EB43</f>
        <v>0.71163454675231974</v>
      </c>
      <c r="EM43" s="107">
        <v>2381</v>
      </c>
      <c r="EN43" s="108">
        <f t="shared" ref="EN43" si="352">EM43/$EB43</f>
        <v>0.84975017844396861</v>
      </c>
      <c r="EO43" s="163">
        <v>65681</v>
      </c>
      <c r="EP43" s="163">
        <v>65000</v>
      </c>
      <c r="EQ43" s="163">
        <v>84239</v>
      </c>
      <c r="ER43" s="163">
        <v>77881</v>
      </c>
      <c r="ES43" s="163">
        <v>53607</v>
      </c>
      <c r="ET43" s="107">
        <v>2079</v>
      </c>
      <c r="EU43" s="107">
        <v>185</v>
      </c>
      <c r="EV43" s="108">
        <f t="shared" si="72"/>
        <v>8.8985088985088986E-2</v>
      </c>
      <c r="EW43" s="107">
        <v>2061</v>
      </c>
      <c r="EX43" s="107">
        <v>217</v>
      </c>
      <c r="EY43" s="108">
        <f t="shared" si="73"/>
        <v>0.10528869480834546</v>
      </c>
      <c r="EZ43" s="107">
        <f t="shared" si="74"/>
        <v>4140</v>
      </c>
      <c r="FA43" s="107">
        <f t="shared" si="75"/>
        <v>402</v>
      </c>
      <c r="FB43" s="108">
        <f t="shared" si="76"/>
        <v>9.7101449275362323E-2</v>
      </c>
      <c r="FC43" s="107">
        <v>4140</v>
      </c>
      <c r="FD43" s="107">
        <v>402</v>
      </c>
      <c r="FE43" s="108">
        <f t="shared" si="77"/>
        <v>9.7101449275362323E-2</v>
      </c>
      <c r="FF43" s="107">
        <v>680</v>
      </c>
      <c r="FG43" s="108">
        <f t="shared" si="77"/>
        <v>0.16425120772946861</v>
      </c>
      <c r="FH43" s="107">
        <v>1011</v>
      </c>
      <c r="FI43" s="108">
        <f t="shared" ref="FI43" si="353">FH43/$FC43</f>
        <v>0.24420289855072463</v>
      </c>
      <c r="FJ43" s="107">
        <v>1224</v>
      </c>
      <c r="FK43" s="108">
        <f t="shared" ref="FK43" si="354">FJ43/$FC43</f>
        <v>0.29565217391304349</v>
      </c>
      <c r="FL43" s="107">
        <v>1991</v>
      </c>
      <c r="FM43" s="108">
        <f t="shared" ref="FM43" si="355">FL43/$FC43</f>
        <v>0.48091787439613526</v>
      </c>
      <c r="FN43" s="107">
        <v>240</v>
      </c>
      <c r="FO43" s="108">
        <v>0.17582417582417584</v>
      </c>
      <c r="FP43" s="107">
        <v>3</v>
      </c>
      <c r="FQ43" s="108">
        <v>2.1978021978021978E-3</v>
      </c>
      <c r="FR43" s="107">
        <v>53</v>
      </c>
      <c r="FS43" s="108">
        <v>7.1621621621621626E-2</v>
      </c>
      <c r="FT43" s="110">
        <v>0</v>
      </c>
      <c r="FU43" s="108">
        <v>0</v>
      </c>
      <c r="FV43" s="107">
        <v>227</v>
      </c>
      <c r="FW43" s="108">
        <v>0.18145483613109512</v>
      </c>
      <c r="FX43" s="107">
        <v>7</v>
      </c>
      <c r="FY43" s="108">
        <v>5.5955235811350921E-3</v>
      </c>
      <c r="FZ43" s="107">
        <v>26</v>
      </c>
      <c r="GA43" s="108">
        <v>3.143893591293833E-2</v>
      </c>
      <c r="GB43" s="107">
        <v>0</v>
      </c>
      <c r="GC43" s="108">
        <v>0</v>
      </c>
      <c r="GD43" s="107">
        <v>546</v>
      </c>
      <c r="GE43" s="117">
        <v>0.13052832895051397</v>
      </c>
      <c r="GF43" s="107">
        <v>10</v>
      </c>
      <c r="GG43" s="117">
        <v>2.3906287353573988E-3</v>
      </c>
      <c r="GH43" s="107">
        <v>2802</v>
      </c>
      <c r="GI43" s="107">
        <v>412</v>
      </c>
      <c r="GJ43" s="108">
        <f t="shared" si="81"/>
        <v>0.14703783012134189</v>
      </c>
      <c r="GK43" s="107">
        <v>187</v>
      </c>
      <c r="GL43" s="108">
        <f t="shared" si="82"/>
        <v>0.45388349514563109</v>
      </c>
      <c r="GM43" s="107">
        <v>168</v>
      </c>
      <c r="GN43" s="108">
        <f t="shared" si="83"/>
        <v>0.40776699029126212</v>
      </c>
      <c r="GO43" s="107">
        <v>2390</v>
      </c>
      <c r="GP43" s="108">
        <f t="shared" si="84"/>
        <v>0.85296216987865814</v>
      </c>
      <c r="GQ43" s="107">
        <v>1797</v>
      </c>
      <c r="GR43" s="108">
        <f t="shared" si="85"/>
        <v>0.75188284518828452</v>
      </c>
      <c r="GS43" s="107">
        <v>578</v>
      </c>
      <c r="GT43" s="108">
        <f t="shared" si="86"/>
        <v>0.24184100418410043</v>
      </c>
    </row>
    <row r="44" spans="1:202" x14ac:dyDescent="0.25">
      <c r="A44" s="104" t="s">
        <v>216</v>
      </c>
      <c r="B44" s="143">
        <v>4252</v>
      </c>
      <c r="C44" s="143">
        <v>1007</v>
      </c>
      <c r="D44" s="143">
        <v>713</v>
      </c>
      <c r="E44" s="143">
        <v>232</v>
      </c>
      <c r="F44" s="143">
        <v>100</v>
      </c>
      <c r="G44" s="144">
        <f t="shared" si="2"/>
        <v>0.23682972718720602</v>
      </c>
      <c r="H44" s="144">
        <f t="shared" si="3"/>
        <v>0.16768579492003763</v>
      </c>
      <c r="I44" s="144">
        <f t="shared" si="4"/>
        <v>5.456255879586077E-2</v>
      </c>
      <c r="J44" s="144">
        <f t="shared" si="5"/>
        <v>2.3518344308560677E-2</v>
      </c>
      <c r="K44" s="143">
        <v>352</v>
      </c>
      <c r="L44" s="145">
        <f t="shared" si="6"/>
        <v>0.49368863955119213</v>
      </c>
      <c r="M44" s="143">
        <v>361</v>
      </c>
      <c r="N44" s="145">
        <f t="shared" si="7"/>
        <v>0.50631136044880787</v>
      </c>
      <c r="O44" s="148">
        <v>34.299999999999997</v>
      </c>
      <c r="P44" s="107">
        <v>1405</v>
      </c>
      <c r="Q44" s="107">
        <v>675</v>
      </c>
      <c r="R44" s="108">
        <f t="shared" si="8"/>
        <v>0.4804270462633452</v>
      </c>
      <c r="S44" s="107">
        <v>518</v>
      </c>
      <c r="T44" s="149">
        <f t="shared" si="9"/>
        <v>0.36868327402135231</v>
      </c>
      <c r="U44" s="143">
        <v>352</v>
      </c>
      <c r="V44" s="107">
        <v>16</v>
      </c>
      <c r="W44" s="108">
        <f t="shared" si="10"/>
        <v>4.5454545454545456E-2</v>
      </c>
      <c r="X44" s="107">
        <v>270</v>
      </c>
      <c r="Y44" s="150">
        <f t="shared" si="11"/>
        <v>0.76704545454545459</v>
      </c>
      <c r="Z44" s="107">
        <v>3</v>
      </c>
      <c r="AA44" s="108">
        <f t="shared" si="12"/>
        <v>8.5227272727272721E-3</v>
      </c>
      <c r="AB44" s="107">
        <v>44</v>
      </c>
      <c r="AC44" s="108">
        <f t="shared" si="13"/>
        <v>0.125</v>
      </c>
      <c r="AD44" s="107">
        <v>19</v>
      </c>
      <c r="AE44" s="108">
        <f t="shared" si="14"/>
        <v>5.3977272727272728E-2</v>
      </c>
      <c r="AF44" s="107">
        <v>361</v>
      </c>
      <c r="AG44" s="107">
        <v>22</v>
      </c>
      <c r="AH44" s="108">
        <f t="shared" si="15"/>
        <v>6.0941828254847646E-2</v>
      </c>
      <c r="AI44" s="107">
        <v>141</v>
      </c>
      <c r="AJ44" s="108">
        <f t="shared" si="16"/>
        <v>0.39058171745152354</v>
      </c>
      <c r="AK44" s="107">
        <v>4</v>
      </c>
      <c r="AL44" s="108">
        <f t="shared" si="17"/>
        <v>1.1080332409972299E-2</v>
      </c>
      <c r="AM44" s="107">
        <v>129</v>
      </c>
      <c r="AN44" s="108">
        <f t="shared" si="18"/>
        <v>0.35734072022160662</v>
      </c>
      <c r="AO44" s="107">
        <v>65</v>
      </c>
      <c r="AP44" s="108">
        <f t="shared" si="19"/>
        <v>0.18005540166204986</v>
      </c>
      <c r="AQ44" s="107">
        <f t="shared" si="20"/>
        <v>713</v>
      </c>
      <c r="AR44" s="107">
        <f t="shared" si="21"/>
        <v>38</v>
      </c>
      <c r="AS44" s="108">
        <f t="shared" si="22"/>
        <v>5.3295932678821878E-2</v>
      </c>
      <c r="AT44" s="107">
        <f t="shared" si="23"/>
        <v>411</v>
      </c>
      <c r="AU44" s="108">
        <f t="shared" si="24"/>
        <v>0.57643758765778397</v>
      </c>
      <c r="AV44" s="107">
        <f t="shared" si="25"/>
        <v>7</v>
      </c>
      <c r="AW44" s="108">
        <f t="shared" si="26"/>
        <v>9.8176718092566617E-3</v>
      </c>
      <c r="AX44" s="107">
        <f t="shared" si="27"/>
        <v>173</v>
      </c>
      <c r="AY44" s="108">
        <f t="shared" si="28"/>
        <v>0.2426367461430575</v>
      </c>
      <c r="AZ44" s="107">
        <f t="shared" si="29"/>
        <v>84</v>
      </c>
      <c r="BA44" s="108">
        <f t="shared" si="30"/>
        <v>0.11781206171107994</v>
      </c>
      <c r="BB44" s="111">
        <v>352</v>
      </c>
      <c r="BC44" s="111">
        <v>138</v>
      </c>
      <c r="BD44" s="152">
        <f t="shared" si="31"/>
        <v>0.39204545454545453</v>
      </c>
      <c r="BE44" s="111">
        <v>361</v>
      </c>
      <c r="BF44" s="111">
        <v>159</v>
      </c>
      <c r="BG44" s="152">
        <f t="shared" si="0"/>
        <v>0.44044321329639891</v>
      </c>
      <c r="BH44" s="153">
        <f t="shared" si="32"/>
        <v>713</v>
      </c>
      <c r="BI44" s="153">
        <f t="shared" si="33"/>
        <v>297</v>
      </c>
      <c r="BJ44" s="154">
        <f t="shared" si="34"/>
        <v>0.41654978962131839</v>
      </c>
      <c r="BK44" s="107">
        <v>713</v>
      </c>
      <c r="BL44" s="107">
        <v>118</v>
      </c>
      <c r="BM44" s="108">
        <f t="shared" si="87"/>
        <v>0.16549789621318373</v>
      </c>
      <c r="BN44" s="107">
        <v>352</v>
      </c>
      <c r="BO44" s="107">
        <v>36</v>
      </c>
      <c r="BP44" s="108">
        <f t="shared" si="35"/>
        <v>0.10227272727272728</v>
      </c>
      <c r="BQ44" s="107">
        <v>361</v>
      </c>
      <c r="BR44" s="107">
        <v>82</v>
      </c>
      <c r="BS44" s="108">
        <f t="shared" si="36"/>
        <v>0.22714681440443213</v>
      </c>
      <c r="BT44" s="113">
        <v>4286</v>
      </c>
      <c r="BU44" s="113">
        <v>735</v>
      </c>
      <c r="BV44" s="156">
        <f t="shared" si="37"/>
        <v>0.17148856742883808</v>
      </c>
      <c r="BW44" s="156">
        <f t="shared" si="38"/>
        <v>1</v>
      </c>
      <c r="BX44" s="113">
        <v>644</v>
      </c>
      <c r="BY44" s="113">
        <v>249</v>
      </c>
      <c r="BZ44" s="156">
        <f t="shared" si="39"/>
        <v>0.38664596273291924</v>
      </c>
      <c r="CA44" s="156">
        <f t="shared" si="40"/>
        <v>0.33877551020408164</v>
      </c>
      <c r="CB44" s="113">
        <v>44</v>
      </c>
      <c r="CC44" s="113">
        <v>6</v>
      </c>
      <c r="CD44" s="156">
        <f t="shared" si="41"/>
        <v>0.13636363636363635</v>
      </c>
      <c r="CE44" s="156">
        <f t="shared" si="88"/>
        <v>8.1632653061224497E-3</v>
      </c>
      <c r="CF44" s="113">
        <v>3180</v>
      </c>
      <c r="CG44" s="113">
        <v>447</v>
      </c>
      <c r="CH44" s="156">
        <f t="shared" si="42"/>
        <v>0.14056603773584905</v>
      </c>
      <c r="CI44" s="156">
        <f t="shared" si="43"/>
        <v>0.60816326530612241</v>
      </c>
      <c r="CJ44" s="113">
        <v>71</v>
      </c>
      <c r="CK44" s="113">
        <v>11</v>
      </c>
      <c r="CL44" s="161">
        <f t="shared" si="44"/>
        <v>0.15492957746478872</v>
      </c>
      <c r="CM44" s="156">
        <f t="shared" si="45"/>
        <v>1.4965986394557823E-2</v>
      </c>
      <c r="CN44" s="113">
        <v>1</v>
      </c>
      <c r="CO44" s="113">
        <v>1</v>
      </c>
      <c r="CP44" s="161">
        <v>0</v>
      </c>
      <c r="CQ44" s="156">
        <f t="shared" si="47"/>
        <v>1.3605442176870747E-3</v>
      </c>
      <c r="CR44" s="105">
        <v>7</v>
      </c>
      <c r="CS44" s="105">
        <v>0</v>
      </c>
      <c r="CT44" s="106">
        <f t="shared" si="48"/>
        <v>0</v>
      </c>
      <c r="CU44" s="106">
        <f t="shared" si="49"/>
        <v>0</v>
      </c>
      <c r="CV44" s="113">
        <v>130</v>
      </c>
      <c r="CW44" s="113">
        <v>14</v>
      </c>
      <c r="CX44" s="156">
        <f t="shared" si="50"/>
        <v>0.1076923076923077</v>
      </c>
      <c r="CY44" s="156">
        <f t="shared" si="51"/>
        <v>1.9047619047619049E-2</v>
      </c>
      <c r="CZ44" s="113">
        <v>216</v>
      </c>
      <c r="DA44" s="113">
        <v>7</v>
      </c>
      <c r="DB44" s="156">
        <f t="shared" si="52"/>
        <v>3.2407407407407406E-2</v>
      </c>
      <c r="DC44" s="156">
        <f t="shared" si="89"/>
        <v>9.5238095238095247E-3</v>
      </c>
      <c r="DD44" s="107">
        <v>352</v>
      </c>
      <c r="DE44" s="107">
        <v>40</v>
      </c>
      <c r="DF44" s="107">
        <v>184</v>
      </c>
      <c r="DG44" s="107">
        <v>69</v>
      </c>
      <c r="DH44" s="107">
        <v>59</v>
      </c>
      <c r="DI44" s="149">
        <f t="shared" si="53"/>
        <v>0.11363636363636363</v>
      </c>
      <c r="DJ44" s="149">
        <f t="shared" si="54"/>
        <v>0.52272727272727271</v>
      </c>
      <c r="DK44" s="149">
        <f t="shared" si="55"/>
        <v>0.36363636363636365</v>
      </c>
      <c r="DL44" s="107">
        <v>361</v>
      </c>
      <c r="DM44" s="107">
        <v>24</v>
      </c>
      <c r="DN44" s="107">
        <v>171</v>
      </c>
      <c r="DO44" s="107">
        <v>94</v>
      </c>
      <c r="DP44" s="107">
        <v>72</v>
      </c>
      <c r="DQ44" s="149">
        <f t="shared" si="56"/>
        <v>6.6481994459833799E-2</v>
      </c>
      <c r="DR44" s="149">
        <f t="shared" si="57"/>
        <v>0.47368421052631576</v>
      </c>
      <c r="DS44" s="149">
        <f t="shared" si="58"/>
        <v>0.45983379501385041</v>
      </c>
      <c r="DT44" s="107">
        <f t="shared" si="59"/>
        <v>713</v>
      </c>
      <c r="DU44" s="107">
        <f t="shared" si="60"/>
        <v>64</v>
      </c>
      <c r="DV44" s="107">
        <f t="shared" si="61"/>
        <v>355</v>
      </c>
      <c r="DW44" s="107">
        <f t="shared" si="62"/>
        <v>163</v>
      </c>
      <c r="DX44" s="107">
        <f t="shared" si="63"/>
        <v>131</v>
      </c>
      <c r="DY44" s="108">
        <f t="shared" si="64"/>
        <v>8.9761570827489479E-2</v>
      </c>
      <c r="DZ44" s="108">
        <f t="shared" si="65"/>
        <v>0.49789621318373073</v>
      </c>
      <c r="EA44" s="108">
        <f t="shared" si="66"/>
        <v>0.41234221598877979</v>
      </c>
      <c r="EB44" s="107">
        <v>439</v>
      </c>
      <c r="EC44" s="110">
        <v>28</v>
      </c>
      <c r="ED44" s="108">
        <f t="shared" si="67"/>
        <v>6.3781321184510256E-2</v>
      </c>
      <c r="EE44" s="107">
        <v>78</v>
      </c>
      <c r="EF44" s="108">
        <f t="shared" si="67"/>
        <v>0.1776765375854214</v>
      </c>
      <c r="EG44" s="107">
        <v>117</v>
      </c>
      <c r="EH44" s="108">
        <f t="shared" ref="EH44" si="356">EG44/$EB44</f>
        <v>0.26651480637813213</v>
      </c>
      <c r="EI44" s="107">
        <v>197</v>
      </c>
      <c r="EJ44" s="108">
        <f t="shared" ref="EJ44" si="357">EI44/$EB44</f>
        <v>0.44874715261958997</v>
      </c>
      <c r="EK44" s="107">
        <v>277</v>
      </c>
      <c r="EL44" s="108">
        <f t="shared" ref="EL44" si="358">EK44/$EB44</f>
        <v>0.63097949886104787</v>
      </c>
      <c r="EM44" s="107">
        <v>352</v>
      </c>
      <c r="EN44" s="108">
        <f t="shared" ref="EN44" si="359">EM44/$EB44</f>
        <v>0.80182232346241455</v>
      </c>
      <c r="EO44" s="163">
        <v>62108</v>
      </c>
      <c r="EP44" s="163" t="s">
        <v>328</v>
      </c>
      <c r="EQ44" s="163">
        <v>60737</v>
      </c>
      <c r="ER44" s="163">
        <v>66743</v>
      </c>
      <c r="ES44" s="163">
        <v>61488</v>
      </c>
      <c r="ET44" s="107">
        <v>352</v>
      </c>
      <c r="EU44" s="107">
        <v>31</v>
      </c>
      <c r="EV44" s="108">
        <f t="shared" si="72"/>
        <v>8.8068181818181823E-2</v>
      </c>
      <c r="EW44" s="107">
        <v>361</v>
      </c>
      <c r="EX44" s="107">
        <v>41</v>
      </c>
      <c r="EY44" s="108">
        <f t="shared" si="73"/>
        <v>0.11357340720221606</v>
      </c>
      <c r="EZ44" s="107">
        <f t="shared" si="74"/>
        <v>713</v>
      </c>
      <c r="FA44" s="107">
        <f t="shared" si="75"/>
        <v>72</v>
      </c>
      <c r="FB44" s="108">
        <f t="shared" si="76"/>
        <v>0.10098176718092566</v>
      </c>
      <c r="FC44" s="107">
        <v>713</v>
      </c>
      <c r="FD44" s="107">
        <v>72</v>
      </c>
      <c r="FE44" s="108">
        <f t="shared" si="77"/>
        <v>0.10098176718092566</v>
      </c>
      <c r="FF44" s="107">
        <v>126</v>
      </c>
      <c r="FG44" s="108">
        <f t="shared" si="77"/>
        <v>0.17671809256661991</v>
      </c>
      <c r="FH44" s="107">
        <v>199</v>
      </c>
      <c r="FI44" s="108">
        <f t="shared" ref="FI44" si="360">FH44/$FC44</f>
        <v>0.27910238429172513</v>
      </c>
      <c r="FJ44" s="107">
        <v>213</v>
      </c>
      <c r="FK44" s="108">
        <f t="shared" ref="FK44" si="361">FJ44/$FC44</f>
        <v>0.29873772791023845</v>
      </c>
      <c r="FL44" s="107">
        <v>355</v>
      </c>
      <c r="FM44" s="108">
        <f t="shared" ref="FM44" si="362">FL44/$FC44</f>
        <v>0.49789621318373073</v>
      </c>
      <c r="FN44" s="107">
        <v>30</v>
      </c>
      <c r="FO44" s="108">
        <v>0.12448132780082988</v>
      </c>
      <c r="FP44" s="107">
        <v>3</v>
      </c>
      <c r="FQ44" s="108">
        <v>1.2448132780082987E-2</v>
      </c>
      <c r="FR44" s="107">
        <v>0</v>
      </c>
      <c r="FS44" s="108">
        <v>0</v>
      </c>
      <c r="FT44" s="110">
        <v>0</v>
      </c>
      <c r="FU44" s="108">
        <v>0</v>
      </c>
      <c r="FV44" s="107">
        <v>52</v>
      </c>
      <c r="FW44" s="108">
        <v>0.21666666666666667</v>
      </c>
      <c r="FX44" s="107">
        <v>0</v>
      </c>
      <c r="FY44" s="108">
        <v>0</v>
      </c>
      <c r="FZ44" s="107">
        <v>7</v>
      </c>
      <c r="GA44" s="108">
        <v>5.7851239669421489E-2</v>
      </c>
      <c r="GB44" s="107">
        <v>0</v>
      </c>
      <c r="GC44" s="108">
        <v>0</v>
      </c>
      <c r="GD44" s="107">
        <v>89</v>
      </c>
      <c r="GE44" s="117">
        <v>0.12482468443197756</v>
      </c>
      <c r="GF44" s="107">
        <v>3</v>
      </c>
      <c r="GG44" s="117">
        <v>4.2075736325385693E-3</v>
      </c>
      <c r="GH44" s="107">
        <v>439</v>
      </c>
      <c r="GI44" s="107">
        <v>29</v>
      </c>
      <c r="GJ44" s="108">
        <f t="shared" si="81"/>
        <v>6.6059225512528477E-2</v>
      </c>
      <c r="GK44" s="107">
        <v>23</v>
      </c>
      <c r="GL44" s="108">
        <f t="shared" si="82"/>
        <v>0.7931034482758621</v>
      </c>
      <c r="GM44" s="107">
        <v>3</v>
      </c>
      <c r="GN44" s="108">
        <f t="shared" si="83"/>
        <v>0.10344827586206896</v>
      </c>
      <c r="GO44" s="107">
        <v>410</v>
      </c>
      <c r="GP44" s="108">
        <f t="shared" si="84"/>
        <v>0.93394077448747148</v>
      </c>
      <c r="GQ44" s="107">
        <v>300</v>
      </c>
      <c r="GR44" s="108">
        <f t="shared" si="85"/>
        <v>0.73170731707317072</v>
      </c>
      <c r="GS44" s="107">
        <v>103</v>
      </c>
      <c r="GT44" s="108">
        <f t="shared" si="86"/>
        <v>0.25121951219512195</v>
      </c>
    </row>
    <row r="45" spans="1:202" x14ac:dyDescent="0.25">
      <c r="A45" s="104" t="s">
        <v>217</v>
      </c>
      <c r="B45" s="143">
        <v>926331</v>
      </c>
      <c r="C45" s="143">
        <v>188772</v>
      </c>
      <c r="D45" s="143">
        <v>136581</v>
      </c>
      <c r="E45" s="143">
        <v>52823</v>
      </c>
      <c r="F45" s="143">
        <v>16713</v>
      </c>
      <c r="G45" s="144">
        <f t="shared" si="2"/>
        <v>0.20378460830955675</v>
      </c>
      <c r="H45" s="144">
        <f t="shared" si="3"/>
        <v>0.14744297664657666</v>
      </c>
      <c r="I45" s="144">
        <f t="shared" si="4"/>
        <v>5.7023893187208463E-2</v>
      </c>
      <c r="J45" s="144">
        <f t="shared" si="5"/>
        <v>1.8042146921564754E-2</v>
      </c>
      <c r="K45" s="143">
        <v>59899</v>
      </c>
      <c r="L45" s="145">
        <f t="shared" si="6"/>
        <v>0.43856026826571776</v>
      </c>
      <c r="M45" s="143">
        <v>76682</v>
      </c>
      <c r="N45" s="145">
        <f t="shared" si="7"/>
        <v>0.56143973173428219</v>
      </c>
      <c r="O45" s="148">
        <v>35.5</v>
      </c>
      <c r="P45" s="107">
        <v>392399</v>
      </c>
      <c r="Q45" s="107">
        <v>137576</v>
      </c>
      <c r="R45" s="108">
        <f t="shared" si="8"/>
        <v>0.3506023205971473</v>
      </c>
      <c r="S45" s="107">
        <v>102663</v>
      </c>
      <c r="T45" s="149">
        <f t="shared" si="9"/>
        <v>0.26162910710781628</v>
      </c>
      <c r="U45" s="143">
        <v>59899</v>
      </c>
      <c r="V45" s="107">
        <v>8811</v>
      </c>
      <c r="W45" s="108">
        <f t="shared" si="10"/>
        <v>0.14709761431743434</v>
      </c>
      <c r="X45" s="107">
        <v>32763</v>
      </c>
      <c r="Y45" s="150">
        <f t="shared" si="11"/>
        <v>0.5469707340690162</v>
      </c>
      <c r="Z45" s="107">
        <v>2528</v>
      </c>
      <c r="AA45" s="108">
        <f t="shared" si="12"/>
        <v>4.2204377368570425E-2</v>
      </c>
      <c r="AB45" s="107">
        <v>5858</v>
      </c>
      <c r="AC45" s="108">
        <f t="shared" si="13"/>
        <v>9.7797959899163595E-2</v>
      </c>
      <c r="AD45" s="107">
        <v>9939</v>
      </c>
      <c r="AE45" s="108">
        <f t="shared" si="14"/>
        <v>0.16592931434581545</v>
      </c>
      <c r="AF45" s="107">
        <v>76682</v>
      </c>
      <c r="AG45" s="107">
        <v>10817</v>
      </c>
      <c r="AH45" s="108">
        <f t="shared" si="15"/>
        <v>0.1410630917294802</v>
      </c>
      <c r="AI45" s="107">
        <v>25857</v>
      </c>
      <c r="AJ45" s="108">
        <f t="shared" si="16"/>
        <v>0.33719777783573718</v>
      </c>
      <c r="AK45" s="107">
        <v>2792</v>
      </c>
      <c r="AL45" s="108">
        <f t="shared" si="17"/>
        <v>3.6410109282491325E-2</v>
      </c>
      <c r="AM45" s="107">
        <v>21770</v>
      </c>
      <c r="AN45" s="108">
        <f t="shared" si="18"/>
        <v>0.28389974179077226</v>
      </c>
      <c r="AO45" s="107">
        <v>15446</v>
      </c>
      <c r="AP45" s="108">
        <f t="shared" si="19"/>
        <v>0.201429279361519</v>
      </c>
      <c r="AQ45" s="107">
        <f t="shared" si="20"/>
        <v>136581</v>
      </c>
      <c r="AR45" s="107">
        <f t="shared" si="21"/>
        <v>19628</v>
      </c>
      <c r="AS45" s="108">
        <f t="shared" si="22"/>
        <v>0.14370959357450891</v>
      </c>
      <c r="AT45" s="107">
        <f t="shared" si="23"/>
        <v>58620</v>
      </c>
      <c r="AU45" s="108">
        <f t="shared" si="24"/>
        <v>0.42919586179629671</v>
      </c>
      <c r="AV45" s="107">
        <f t="shared" si="25"/>
        <v>5320</v>
      </c>
      <c r="AW45" s="108">
        <f t="shared" si="26"/>
        <v>3.8951245048725665E-2</v>
      </c>
      <c r="AX45" s="107">
        <f t="shared" si="27"/>
        <v>27628</v>
      </c>
      <c r="AY45" s="108">
        <f t="shared" si="28"/>
        <v>0.20228289439966027</v>
      </c>
      <c r="AZ45" s="107">
        <f t="shared" si="29"/>
        <v>25385</v>
      </c>
      <c r="BA45" s="108">
        <f t="shared" si="30"/>
        <v>0.18586040518080846</v>
      </c>
      <c r="BB45" s="111">
        <v>58995</v>
      </c>
      <c r="BC45" s="111">
        <v>18258</v>
      </c>
      <c r="BD45" s="152">
        <f t="shared" si="31"/>
        <v>0.30948385456394611</v>
      </c>
      <c r="BE45" s="111">
        <v>74256</v>
      </c>
      <c r="BF45" s="111">
        <v>25248</v>
      </c>
      <c r="BG45" s="152">
        <f t="shared" si="0"/>
        <v>0.34001292824822238</v>
      </c>
      <c r="BH45" s="153">
        <f t="shared" si="32"/>
        <v>133251</v>
      </c>
      <c r="BI45" s="153">
        <f t="shared" si="33"/>
        <v>43506</v>
      </c>
      <c r="BJ45" s="154">
        <f t="shared" si="34"/>
        <v>0.32649661165769861</v>
      </c>
      <c r="BK45" s="107">
        <v>136581</v>
      </c>
      <c r="BL45" s="107">
        <v>50520</v>
      </c>
      <c r="BM45" s="108">
        <f t="shared" si="87"/>
        <v>0.36989039471083096</v>
      </c>
      <c r="BN45" s="107">
        <v>59899</v>
      </c>
      <c r="BO45" s="107">
        <v>17556</v>
      </c>
      <c r="BP45" s="108">
        <f t="shared" si="35"/>
        <v>0.29309337384597406</v>
      </c>
      <c r="BQ45" s="107">
        <v>76682</v>
      </c>
      <c r="BR45" s="107">
        <v>32964</v>
      </c>
      <c r="BS45" s="108">
        <f t="shared" si="36"/>
        <v>0.42987924154299573</v>
      </c>
      <c r="BT45" s="113">
        <v>924740</v>
      </c>
      <c r="BU45" s="113">
        <v>142694</v>
      </c>
      <c r="BV45" s="156">
        <f t="shared" si="37"/>
        <v>0.15430715660618119</v>
      </c>
      <c r="BW45" s="156">
        <f t="shared" si="38"/>
        <v>1</v>
      </c>
      <c r="BX45" s="113">
        <v>442752</v>
      </c>
      <c r="BY45" s="113">
        <v>100834</v>
      </c>
      <c r="BZ45" s="156">
        <f t="shared" si="39"/>
        <v>0.22774374819311941</v>
      </c>
      <c r="CA45" s="156">
        <f t="shared" si="40"/>
        <v>0.7066449885769549</v>
      </c>
      <c r="CB45" s="113">
        <v>237763</v>
      </c>
      <c r="CC45" s="113">
        <v>26869</v>
      </c>
      <c r="CD45" s="156">
        <f t="shared" si="41"/>
        <v>0.11300749065245644</v>
      </c>
      <c r="CE45" s="156">
        <f t="shared" si="88"/>
        <v>0.18829803635752029</v>
      </c>
      <c r="CF45" s="113">
        <v>4861</v>
      </c>
      <c r="CG45" s="113">
        <v>602</v>
      </c>
      <c r="CH45" s="156">
        <f t="shared" si="42"/>
        <v>0.123842830693273</v>
      </c>
      <c r="CI45" s="156">
        <f t="shared" si="43"/>
        <v>4.2188178900304145E-3</v>
      </c>
      <c r="CJ45" s="113">
        <v>52010</v>
      </c>
      <c r="CK45" s="113">
        <v>3399</v>
      </c>
      <c r="CL45" s="161">
        <f t="shared" si="44"/>
        <v>6.5352816766006544E-2</v>
      </c>
      <c r="CM45" s="156">
        <f t="shared" si="45"/>
        <v>2.3820202671450796E-2</v>
      </c>
      <c r="CN45" s="113">
        <v>164</v>
      </c>
      <c r="CO45" s="113">
        <v>22</v>
      </c>
      <c r="CP45" s="161">
        <f t="shared" si="46"/>
        <v>0.13414634146341464</v>
      </c>
      <c r="CQ45" s="156">
        <f t="shared" si="47"/>
        <v>1.5417606907087894E-4</v>
      </c>
      <c r="CR45" s="105">
        <v>39015</v>
      </c>
      <c r="CS45" s="105">
        <v>1170</v>
      </c>
      <c r="CT45" s="106">
        <f t="shared" si="48"/>
        <v>2.9988465974625143E-2</v>
      </c>
      <c r="CU45" s="106">
        <f t="shared" si="49"/>
        <v>8.1993636733149258E-3</v>
      </c>
      <c r="CV45" s="113">
        <v>24616</v>
      </c>
      <c r="CW45" s="113">
        <v>834</v>
      </c>
      <c r="CX45" s="156">
        <f t="shared" si="50"/>
        <v>3.388040298992525E-2</v>
      </c>
      <c r="CY45" s="156">
        <f t="shared" si="51"/>
        <v>5.8446746184142289E-3</v>
      </c>
      <c r="CZ45" s="113">
        <v>162574</v>
      </c>
      <c r="DA45" s="113">
        <v>10134</v>
      </c>
      <c r="DB45" s="156">
        <f t="shared" si="52"/>
        <v>6.2334690663943801E-2</v>
      </c>
      <c r="DC45" s="156">
        <f t="shared" si="89"/>
        <v>7.1019103816558515E-2</v>
      </c>
      <c r="DD45" s="107">
        <v>59899</v>
      </c>
      <c r="DE45" s="107">
        <v>6722</v>
      </c>
      <c r="DF45" s="107">
        <v>17615</v>
      </c>
      <c r="DG45" s="107">
        <v>16866</v>
      </c>
      <c r="DH45" s="107">
        <v>18696</v>
      </c>
      <c r="DI45" s="149">
        <f t="shared" si="53"/>
        <v>0.11222224077196614</v>
      </c>
      <c r="DJ45" s="149">
        <f t="shared" si="54"/>
        <v>0.29407836524816777</v>
      </c>
      <c r="DK45" s="149">
        <f t="shared" si="55"/>
        <v>0.59369939397986615</v>
      </c>
      <c r="DL45" s="107">
        <v>76682</v>
      </c>
      <c r="DM45" s="107">
        <v>9148</v>
      </c>
      <c r="DN45" s="107">
        <v>26471</v>
      </c>
      <c r="DO45" s="107">
        <v>19674</v>
      </c>
      <c r="DP45" s="107">
        <v>21389</v>
      </c>
      <c r="DQ45" s="149">
        <f t="shared" si="56"/>
        <v>0.11929787955452388</v>
      </c>
      <c r="DR45" s="149">
        <f t="shared" si="57"/>
        <v>0.34520487206906447</v>
      </c>
      <c r="DS45" s="149">
        <f t="shared" si="58"/>
        <v>0.53549724837641166</v>
      </c>
      <c r="DT45" s="107">
        <f t="shared" si="59"/>
        <v>136581</v>
      </c>
      <c r="DU45" s="107">
        <f t="shared" si="60"/>
        <v>15870</v>
      </c>
      <c r="DV45" s="107">
        <f t="shared" si="61"/>
        <v>44086</v>
      </c>
      <c r="DW45" s="107">
        <f t="shared" si="62"/>
        <v>36540</v>
      </c>
      <c r="DX45" s="107">
        <f t="shared" si="63"/>
        <v>40085</v>
      </c>
      <c r="DY45" s="108">
        <f t="shared" si="64"/>
        <v>0.11619478551189404</v>
      </c>
      <c r="DZ45" s="108">
        <f t="shared" si="65"/>
        <v>0.32278281752220295</v>
      </c>
      <c r="EA45" s="108">
        <f t="shared" si="66"/>
        <v>0.56102239696590306</v>
      </c>
      <c r="EB45" s="107">
        <v>91892</v>
      </c>
      <c r="EC45" s="110">
        <v>12703</v>
      </c>
      <c r="ED45" s="108">
        <f t="shared" si="67"/>
        <v>0.13823836677839202</v>
      </c>
      <c r="EE45" s="107">
        <v>23217</v>
      </c>
      <c r="EF45" s="108">
        <f t="shared" si="67"/>
        <v>0.25265529099377532</v>
      </c>
      <c r="EG45" s="107">
        <v>34721</v>
      </c>
      <c r="EH45" s="108">
        <f t="shared" ref="EH45" si="363">EG45/$EB45</f>
        <v>0.37784573194619769</v>
      </c>
      <c r="EI45" s="107">
        <v>46761</v>
      </c>
      <c r="EJ45" s="108">
        <f t="shared" ref="EJ45" si="364">EI45/$EB45</f>
        <v>0.50886910721281509</v>
      </c>
      <c r="EK45" s="107">
        <v>63124</v>
      </c>
      <c r="EL45" s="108">
        <f t="shared" ref="EL45" si="365">EK45/$EB45</f>
        <v>0.68693683889783663</v>
      </c>
      <c r="EM45" s="107">
        <v>73909</v>
      </c>
      <c r="EN45" s="108">
        <f t="shared" ref="EN45" si="366">EM45/$EB45</f>
        <v>0.80430287729073258</v>
      </c>
      <c r="EO45" s="163">
        <v>64435</v>
      </c>
      <c r="EP45" s="163">
        <v>36115</v>
      </c>
      <c r="EQ45" s="163">
        <v>72589</v>
      </c>
      <c r="ER45" s="163">
        <v>74562</v>
      </c>
      <c r="ES45" s="163">
        <v>48974</v>
      </c>
      <c r="ET45" s="107">
        <v>58995</v>
      </c>
      <c r="EU45" s="107">
        <v>8080</v>
      </c>
      <c r="EV45" s="108">
        <f t="shared" si="72"/>
        <v>0.13696075938638869</v>
      </c>
      <c r="EW45" s="107">
        <v>74256</v>
      </c>
      <c r="EX45" s="107">
        <v>11281</v>
      </c>
      <c r="EY45" s="108">
        <f t="shared" si="73"/>
        <v>0.15192038353803058</v>
      </c>
      <c r="EZ45" s="107">
        <f t="shared" si="74"/>
        <v>133251</v>
      </c>
      <c r="FA45" s="107">
        <f t="shared" si="75"/>
        <v>19361</v>
      </c>
      <c r="FB45" s="108">
        <f t="shared" si="76"/>
        <v>0.14529722103398848</v>
      </c>
      <c r="FC45" s="107">
        <v>133251</v>
      </c>
      <c r="FD45" s="107">
        <v>19361</v>
      </c>
      <c r="FE45" s="108">
        <f t="shared" si="77"/>
        <v>0.14529722103398848</v>
      </c>
      <c r="FF45" s="107">
        <v>30519</v>
      </c>
      <c r="FG45" s="108">
        <f t="shared" si="77"/>
        <v>0.22903392845081838</v>
      </c>
      <c r="FH45" s="107">
        <v>38953</v>
      </c>
      <c r="FI45" s="108">
        <f t="shared" ref="FI45" si="367">FH45/$FC45</f>
        <v>0.29232801254774826</v>
      </c>
      <c r="FJ45" s="107">
        <v>44062</v>
      </c>
      <c r="FK45" s="108">
        <f t="shared" ref="FK45" si="368">FJ45/$FC45</f>
        <v>0.33066918822372815</v>
      </c>
      <c r="FL45" s="107">
        <v>65977</v>
      </c>
      <c r="FM45" s="108">
        <f t="shared" ref="FM45" si="369">FL45/$FC45</f>
        <v>0.49513324477865084</v>
      </c>
      <c r="FN45" s="107">
        <v>10213</v>
      </c>
      <c r="FO45" s="108">
        <v>0.26211374602196902</v>
      </c>
      <c r="FP45" s="107">
        <v>349</v>
      </c>
      <c r="FQ45" s="108">
        <v>8.9569859357355504E-3</v>
      </c>
      <c r="FR45" s="107">
        <v>1879</v>
      </c>
      <c r="FS45" s="108">
        <v>8.9754000477668974E-2</v>
      </c>
      <c r="FT45" s="110">
        <v>18</v>
      </c>
      <c r="FU45" s="108">
        <v>8.5980415572008595E-4</v>
      </c>
      <c r="FV45" s="107">
        <v>9376</v>
      </c>
      <c r="FW45" s="108">
        <v>0.20931374737688083</v>
      </c>
      <c r="FX45" s="107">
        <v>257</v>
      </c>
      <c r="FY45" s="108">
        <v>5.7373755413671476E-3</v>
      </c>
      <c r="FZ45" s="107">
        <v>1243</v>
      </c>
      <c r="GA45" s="108">
        <v>3.8980180632212744E-2</v>
      </c>
      <c r="GB45" s="107">
        <v>51</v>
      </c>
      <c r="GC45" s="108">
        <v>1.5993477170095334E-3</v>
      </c>
      <c r="GD45" s="107">
        <v>22711</v>
      </c>
      <c r="GE45" s="117">
        <v>0.16628227938000162</v>
      </c>
      <c r="GF45" s="107">
        <v>675</v>
      </c>
      <c r="GG45" s="117">
        <v>4.9421222571221475E-3</v>
      </c>
      <c r="GH45" s="107">
        <v>91892</v>
      </c>
      <c r="GI45" s="107">
        <v>33839</v>
      </c>
      <c r="GJ45" s="108">
        <f t="shared" si="81"/>
        <v>0.36824750794410832</v>
      </c>
      <c r="GK45" s="107">
        <v>11979</v>
      </c>
      <c r="GL45" s="108">
        <f t="shared" si="82"/>
        <v>0.3539998226897958</v>
      </c>
      <c r="GM45" s="107">
        <v>19996</v>
      </c>
      <c r="GN45" s="108">
        <f t="shared" si="83"/>
        <v>0.5909158072047046</v>
      </c>
      <c r="GO45" s="107">
        <v>58053</v>
      </c>
      <c r="GP45" s="108">
        <f t="shared" si="84"/>
        <v>0.63175249205589168</v>
      </c>
      <c r="GQ45" s="107">
        <v>40367</v>
      </c>
      <c r="GR45" s="108">
        <f t="shared" si="85"/>
        <v>0.69534735500318678</v>
      </c>
      <c r="GS45" s="107">
        <v>16967</v>
      </c>
      <c r="GT45" s="108">
        <f t="shared" si="86"/>
        <v>0.29226741081425595</v>
      </c>
    </row>
    <row r="46" spans="1:202" x14ac:dyDescent="0.25">
      <c r="A46" s="104" t="s">
        <v>218</v>
      </c>
      <c r="B46" s="143">
        <v>46208</v>
      </c>
      <c r="C46" s="143">
        <v>11606</v>
      </c>
      <c r="D46" s="143">
        <v>8320</v>
      </c>
      <c r="E46" s="143">
        <v>3276</v>
      </c>
      <c r="F46" s="143">
        <v>997</v>
      </c>
      <c r="G46" s="144">
        <f t="shared" si="2"/>
        <v>0.25116862880886426</v>
      </c>
      <c r="H46" s="144">
        <f t="shared" si="3"/>
        <v>0.18005540166204986</v>
      </c>
      <c r="I46" s="144">
        <f t="shared" si="4"/>
        <v>7.0896814404432129E-2</v>
      </c>
      <c r="J46" s="144">
        <f t="shared" si="5"/>
        <v>2.1576350415512466E-2</v>
      </c>
      <c r="K46" s="143">
        <v>4004</v>
      </c>
      <c r="L46" s="145">
        <f t="shared" si="6"/>
        <v>0.48125000000000001</v>
      </c>
      <c r="M46" s="143">
        <v>4316</v>
      </c>
      <c r="N46" s="145">
        <f t="shared" si="7"/>
        <v>0.51875000000000004</v>
      </c>
      <c r="O46" s="148">
        <v>39.700000000000003</v>
      </c>
      <c r="P46" s="107">
        <v>18301</v>
      </c>
      <c r="Q46" s="107">
        <v>7825</v>
      </c>
      <c r="R46" s="108">
        <f t="shared" si="8"/>
        <v>0.42757226381072072</v>
      </c>
      <c r="S46" s="107">
        <v>5844</v>
      </c>
      <c r="T46" s="149">
        <f t="shared" si="9"/>
        <v>0.3193268127424731</v>
      </c>
      <c r="U46" s="143">
        <v>4004</v>
      </c>
      <c r="V46" s="107">
        <v>272</v>
      </c>
      <c r="W46" s="108">
        <f t="shared" si="10"/>
        <v>6.7932067932067935E-2</v>
      </c>
      <c r="X46" s="107">
        <v>2636</v>
      </c>
      <c r="Y46" s="150">
        <f t="shared" si="11"/>
        <v>0.65834165834165836</v>
      </c>
      <c r="Z46" s="107">
        <v>106</v>
      </c>
      <c r="AA46" s="108">
        <f t="shared" si="12"/>
        <v>2.6473526473526472E-2</v>
      </c>
      <c r="AB46" s="107">
        <v>464</v>
      </c>
      <c r="AC46" s="108">
        <f t="shared" si="13"/>
        <v>0.11588411588411589</v>
      </c>
      <c r="AD46" s="107">
        <v>526</v>
      </c>
      <c r="AE46" s="108">
        <f t="shared" si="14"/>
        <v>0.13136863136863136</v>
      </c>
      <c r="AF46" s="107">
        <v>4316</v>
      </c>
      <c r="AG46" s="107">
        <v>204</v>
      </c>
      <c r="AH46" s="108">
        <f t="shared" si="15"/>
        <v>4.7265987025023166E-2</v>
      </c>
      <c r="AI46" s="107">
        <v>1979</v>
      </c>
      <c r="AJ46" s="108">
        <f t="shared" si="16"/>
        <v>0.45852641334569044</v>
      </c>
      <c r="AK46" s="107">
        <v>138</v>
      </c>
      <c r="AL46" s="108">
        <f t="shared" si="17"/>
        <v>3.19740500463392E-2</v>
      </c>
      <c r="AM46" s="107">
        <v>1335</v>
      </c>
      <c r="AN46" s="108">
        <f t="shared" si="18"/>
        <v>0.30931417979610748</v>
      </c>
      <c r="AO46" s="107">
        <v>660</v>
      </c>
      <c r="AP46" s="108">
        <f t="shared" si="19"/>
        <v>0.15291936978683968</v>
      </c>
      <c r="AQ46" s="107">
        <f t="shared" si="20"/>
        <v>8320</v>
      </c>
      <c r="AR46" s="107">
        <f t="shared" si="21"/>
        <v>476</v>
      </c>
      <c r="AS46" s="108">
        <f t="shared" si="22"/>
        <v>5.721153846153846E-2</v>
      </c>
      <c r="AT46" s="107">
        <f t="shared" si="23"/>
        <v>4615</v>
      </c>
      <c r="AU46" s="108">
        <f t="shared" si="24"/>
        <v>0.5546875</v>
      </c>
      <c r="AV46" s="107">
        <f t="shared" si="25"/>
        <v>244</v>
      </c>
      <c r="AW46" s="108">
        <f t="shared" si="26"/>
        <v>2.9326923076923077E-2</v>
      </c>
      <c r="AX46" s="107">
        <f t="shared" si="27"/>
        <v>1799</v>
      </c>
      <c r="AY46" s="108">
        <f t="shared" si="28"/>
        <v>0.21622596153846155</v>
      </c>
      <c r="AZ46" s="107">
        <f t="shared" si="29"/>
        <v>1186</v>
      </c>
      <c r="BA46" s="108">
        <f t="shared" si="30"/>
        <v>0.14254807692307692</v>
      </c>
      <c r="BB46" s="111">
        <v>3886</v>
      </c>
      <c r="BC46" s="111">
        <v>1272</v>
      </c>
      <c r="BD46" s="152">
        <f t="shared" si="31"/>
        <v>0.32732887287699436</v>
      </c>
      <c r="BE46" s="111">
        <v>4199</v>
      </c>
      <c r="BF46" s="111">
        <v>1323</v>
      </c>
      <c r="BG46" s="152">
        <f t="shared" si="0"/>
        <v>0.31507501786139558</v>
      </c>
      <c r="BH46" s="153">
        <f t="shared" si="32"/>
        <v>8085</v>
      </c>
      <c r="BI46" s="153">
        <f t="shared" si="33"/>
        <v>2595</v>
      </c>
      <c r="BJ46" s="154">
        <f t="shared" si="34"/>
        <v>0.3209647495361781</v>
      </c>
      <c r="BK46" s="107">
        <v>8320</v>
      </c>
      <c r="BL46" s="107">
        <v>2521</v>
      </c>
      <c r="BM46" s="108">
        <f t="shared" si="87"/>
        <v>0.3030048076923077</v>
      </c>
      <c r="BN46" s="107">
        <v>4004</v>
      </c>
      <c r="BO46" s="107">
        <v>931</v>
      </c>
      <c r="BP46" s="108">
        <f t="shared" si="35"/>
        <v>0.23251748251748253</v>
      </c>
      <c r="BQ46" s="107">
        <v>4316</v>
      </c>
      <c r="BR46" s="107">
        <v>1590</v>
      </c>
      <c r="BS46" s="108">
        <f t="shared" si="36"/>
        <v>0.36839666357738649</v>
      </c>
      <c r="BT46" s="113">
        <v>46370</v>
      </c>
      <c r="BU46" s="113">
        <v>8830</v>
      </c>
      <c r="BV46" s="156">
        <f t="shared" si="37"/>
        <v>0.19042484364891094</v>
      </c>
      <c r="BW46" s="156">
        <f t="shared" si="38"/>
        <v>1</v>
      </c>
      <c r="BX46" s="113">
        <v>41032</v>
      </c>
      <c r="BY46" s="113">
        <v>8428</v>
      </c>
      <c r="BZ46" s="156">
        <f t="shared" si="39"/>
        <v>0.20540066289725092</v>
      </c>
      <c r="CA46" s="156">
        <f t="shared" si="40"/>
        <v>0.95447338618346544</v>
      </c>
      <c r="CB46" s="113">
        <v>685</v>
      </c>
      <c r="CC46" s="113">
        <v>57</v>
      </c>
      <c r="CD46" s="156">
        <f t="shared" si="41"/>
        <v>8.3211678832116789E-2</v>
      </c>
      <c r="CE46" s="156">
        <f t="shared" si="88"/>
        <v>6.4552661381653458E-3</v>
      </c>
      <c r="CF46" s="113">
        <v>485</v>
      </c>
      <c r="CG46" s="113">
        <v>93</v>
      </c>
      <c r="CH46" s="156">
        <f t="shared" si="42"/>
        <v>0.19175257731958764</v>
      </c>
      <c r="CI46" s="156">
        <f t="shared" si="43"/>
        <v>1.0532276330690827E-2</v>
      </c>
      <c r="CJ46" s="113">
        <v>440</v>
      </c>
      <c r="CK46" s="113">
        <v>67</v>
      </c>
      <c r="CL46" s="161">
        <f t="shared" si="44"/>
        <v>0.15227272727272728</v>
      </c>
      <c r="CM46" s="156">
        <f t="shared" si="45"/>
        <v>7.5877689694224234E-3</v>
      </c>
      <c r="CN46" s="113">
        <v>43</v>
      </c>
      <c r="CO46" s="113">
        <v>4</v>
      </c>
      <c r="CP46" s="161">
        <f t="shared" si="46"/>
        <v>9.3023255813953487E-2</v>
      </c>
      <c r="CQ46" s="156">
        <f t="shared" si="47"/>
        <v>4.5300113250283127E-4</v>
      </c>
      <c r="CR46" s="105">
        <v>406</v>
      </c>
      <c r="CS46" s="105">
        <v>8</v>
      </c>
      <c r="CT46" s="106">
        <f t="shared" si="48"/>
        <v>1.9704433497536946E-2</v>
      </c>
      <c r="CU46" s="106">
        <f t="shared" si="49"/>
        <v>9.0600226500566253E-4</v>
      </c>
      <c r="CV46" s="113">
        <v>801</v>
      </c>
      <c r="CW46" s="113">
        <v>57</v>
      </c>
      <c r="CX46" s="156">
        <f t="shared" si="50"/>
        <v>7.116104868913857E-2</v>
      </c>
      <c r="CY46" s="156">
        <f t="shared" si="51"/>
        <v>6.4552661381653458E-3</v>
      </c>
      <c r="CZ46" s="113">
        <v>2884</v>
      </c>
      <c r="DA46" s="113">
        <v>124</v>
      </c>
      <c r="DB46" s="156">
        <f t="shared" si="52"/>
        <v>4.2995839112343968E-2</v>
      </c>
      <c r="DC46" s="156">
        <f t="shared" si="89"/>
        <v>1.4043035107587769E-2</v>
      </c>
      <c r="DD46" s="107">
        <v>4004</v>
      </c>
      <c r="DE46" s="107">
        <v>406</v>
      </c>
      <c r="DF46" s="107">
        <v>1667</v>
      </c>
      <c r="DG46" s="107">
        <v>1248</v>
      </c>
      <c r="DH46" s="107">
        <v>683</v>
      </c>
      <c r="DI46" s="149">
        <f t="shared" si="53"/>
        <v>0.10139860139860139</v>
      </c>
      <c r="DJ46" s="149">
        <f t="shared" si="54"/>
        <v>0.41633366633366631</v>
      </c>
      <c r="DK46" s="149">
        <f t="shared" si="55"/>
        <v>0.48226773226773229</v>
      </c>
      <c r="DL46" s="107">
        <v>4316</v>
      </c>
      <c r="DM46" s="107">
        <v>331</v>
      </c>
      <c r="DN46" s="107">
        <v>1778</v>
      </c>
      <c r="DO46" s="107">
        <v>1237</v>
      </c>
      <c r="DP46" s="107">
        <v>970</v>
      </c>
      <c r="DQ46" s="149">
        <f t="shared" si="56"/>
        <v>7.6691380908248383E-2</v>
      </c>
      <c r="DR46" s="149">
        <f t="shared" si="57"/>
        <v>0.41195551436515293</v>
      </c>
      <c r="DS46" s="149">
        <f t="shared" si="58"/>
        <v>0.51135310472659867</v>
      </c>
      <c r="DT46" s="107">
        <f t="shared" si="59"/>
        <v>8320</v>
      </c>
      <c r="DU46" s="107">
        <f t="shared" si="60"/>
        <v>737</v>
      </c>
      <c r="DV46" s="107">
        <f t="shared" si="61"/>
        <v>3445</v>
      </c>
      <c r="DW46" s="107">
        <f t="shared" si="62"/>
        <v>2485</v>
      </c>
      <c r="DX46" s="107">
        <f t="shared" si="63"/>
        <v>1653</v>
      </c>
      <c r="DY46" s="108">
        <f t="shared" si="64"/>
        <v>8.8581730769230774E-2</v>
      </c>
      <c r="DZ46" s="108">
        <f t="shared" si="65"/>
        <v>0.4140625</v>
      </c>
      <c r="EA46" s="108">
        <f t="shared" si="66"/>
        <v>0.49735576923076924</v>
      </c>
      <c r="EB46" s="107">
        <v>5236</v>
      </c>
      <c r="EC46" s="110">
        <v>471</v>
      </c>
      <c r="ED46" s="108">
        <f t="shared" si="67"/>
        <v>8.9954163483575253E-2</v>
      </c>
      <c r="EE46" s="107">
        <v>1075</v>
      </c>
      <c r="EF46" s="108">
        <f t="shared" si="67"/>
        <v>0.20530939648586707</v>
      </c>
      <c r="EG46" s="107">
        <v>1877</v>
      </c>
      <c r="EH46" s="108">
        <f t="shared" ref="EH46" si="370">EG46/$EB46</f>
        <v>0.35847975553857908</v>
      </c>
      <c r="EI46" s="107">
        <v>2622</v>
      </c>
      <c r="EJ46" s="108">
        <f t="shared" ref="EJ46" si="371">EI46/$EB46</f>
        <v>0.50076394194041252</v>
      </c>
      <c r="EK46" s="107">
        <v>3846</v>
      </c>
      <c r="EL46" s="108">
        <f t="shared" ref="EL46" si="372">EK46/$EB46</f>
        <v>0.73453017570664625</v>
      </c>
      <c r="EM46" s="107">
        <v>4291</v>
      </c>
      <c r="EN46" s="108">
        <f t="shared" ref="EN46" si="373">EM46/$EB46</f>
        <v>0.81951871657754005</v>
      </c>
      <c r="EO46" s="163">
        <v>69467</v>
      </c>
      <c r="EP46" s="163">
        <v>50265</v>
      </c>
      <c r="EQ46" s="163">
        <v>86554</v>
      </c>
      <c r="ER46" s="163">
        <v>85126</v>
      </c>
      <c r="ES46" s="163">
        <v>49811</v>
      </c>
      <c r="ET46" s="107">
        <v>3886</v>
      </c>
      <c r="EU46" s="107">
        <v>304</v>
      </c>
      <c r="EV46" s="108">
        <f t="shared" si="72"/>
        <v>7.8229541945445194E-2</v>
      </c>
      <c r="EW46" s="107">
        <v>4199</v>
      </c>
      <c r="EX46" s="107">
        <v>546</v>
      </c>
      <c r="EY46" s="108">
        <f t="shared" si="73"/>
        <v>0.13003095975232198</v>
      </c>
      <c r="EZ46" s="107">
        <f t="shared" si="74"/>
        <v>8085</v>
      </c>
      <c r="FA46" s="107">
        <f t="shared" si="75"/>
        <v>850</v>
      </c>
      <c r="FB46" s="108">
        <f t="shared" si="76"/>
        <v>0.10513296227581942</v>
      </c>
      <c r="FC46" s="107">
        <v>8085</v>
      </c>
      <c r="FD46" s="107">
        <v>850</v>
      </c>
      <c r="FE46" s="108">
        <f t="shared" si="77"/>
        <v>0.10513296227581942</v>
      </c>
      <c r="FF46" s="107">
        <v>1456</v>
      </c>
      <c r="FG46" s="108">
        <f t="shared" si="77"/>
        <v>0.1800865800865801</v>
      </c>
      <c r="FH46" s="107">
        <v>2132</v>
      </c>
      <c r="FI46" s="108">
        <f t="shared" ref="FI46" si="374">FH46/$FC46</f>
        <v>0.26369820655534942</v>
      </c>
      <c r="FJ46" s="107">
        <v>2498</v>
      </c>
      <c r="FK46" s="108">
        <f t="shared" ref="FK46" si="375">FJ46/$FC46</f>
        <v>0.30896722325293752</v>
      </c>
      <c r="FL46" s="107">
        <v>4118</v>
      </c>
      <c r="FM46" s="108">
        <f t="shared" ref="FM46" si="376">FL46/$FC46</f>
        <v>0.50933828076685217</v>
      </c>
      <c r="FN46" s="107">
        <v>581</v>
      </c>
      <c r="FO46" s="108">
        <v>0.2327724358974359</v>
      </c>
      <c r="FP46" s="107">
        <v>4</v>
      </c>
      <c r="FQ46" s="108">
        <v>1.6025641025641025E-3</v>
      </c>
      <c r="FR46" s="107">
        <v>84</v>
      </c>
      <c r="FS46" s="108">
        <v>5.5702917771883291E-2</v>
      </c>
      <c r="FT46" s="110">
        <v>0</v>
      </c>
      <c r="FU46" s="108">
        <v>0</v>
      </c>
      <c r="FV46" s="107">
        <v>626</v>
      </c>
      <c r="FW46" s="108">
        <v>0.2456828885400314</v>
      </c>
      <c r="FX46" s="107">
        <v>10</v>
      </c>
      <c r="FY46" s="108">
        <v>3.9246467817896386E-3</v>
      </c>
      <c r="FZ46" s="107">
        <v>57</v>
      </c>
      <c r="GA46" s="108">
        <v>3.223981900452489E-2</v>
      </c>
      <c r="GB46" s="107">
        <v>3</v>
      </c>
      <c r="GC46" s="108">
        <v>1.6968325791855204E-3</v>
      </c>
      <c r="GD46" s="107">
        <v>1348</v>
      </c>
      <c r="GE46" s="117">
        <v>0.16201923076923078</v>
      </c>
      <c r="GF46" s="107">
        <v>17</v>
      </c>
      <c r="GG46" s="117">
        <v>2.0432692307692309E-3</v>
      </c>
      <c r="GH46" s="107">
        <v>5236</v>
      </c>
      <c r="GI46" s="107">
        <v>990</v>
      </c>
      <c r="GJ46" s="108">
        <f t="shared" si="81"/>
        <v>0.18907563025210083</v>
      </c>
      <c r="GK46" s="107">
        <v>420</v>
      </c>
      <c r="GL46" s="108">
        <f t="shared" si="82"/>
        <v>0.42424242424242425</v>
      </c>
      <c r="GM46" s="107">
        <v>450</v>
      </c>
      <c r="GN46" s="108">
        <f t="shared" si="83"/>
        <v>0.45454545454545453</v>
      </c>
      <c r="GO46" s="107">
        <v>4246</v>
      </c>
      <c r="GP46" s="108">
        <f t="shared" si="84"/>
        <v>0.81092436974789917</v>
      </c>
      <c r="GQ46" s="107">
        <v>3413</v>
      </c>
      <c r="GR46" s="108">
        <f t="shared" si="85"/>
        <v>0.80381535562882711</v>
      </c>
      <c r="GS46" s="107">
        <v>808</v>
      </c>
      <c r="GT46" s="108">
        <f t="shared" si="86"/>
        <v>0.1902967498822421</v>
      </c>
    </row>
    <row r="47" spans="1:202" x14ac:dyDescent="0.25">
      <c r="A47" s="104" t="s">
        <v>219</v>
      </c>
      <c r="B47" s="143">
        <v>39589</v>
      </c>
      <c r="C47" s="143">
        <v>12698</v>
      </c>
      <c r="D47" s="143">
        <v>8975</v>
      </c>
      <c r="E47" s="143">
        <v>3343</v>
      </c>
      <c r="F47" s="143">
        <v>784</v>
      </c>
      <c r="G47" s="144">
        <f t="shared" si="2"/>
        <v>0.32074566167369722</v>
      </c>
      <c r="H47" s="144">
        <f t="shared" si="3"/>
        <v>0.22670438758240927</v>
      </c>
      <c r="I47" s="144">
        <f t="shared" si="4"/>
        <v>8.444264821036146E-2</v>
      </c>
      <c r="J47" s="144">
        <f t="shared" si="5"/>
        <v>1.9803480764858925E-2</v>
      </c>
      <c r="K47" s="143">
        <v>4592</v>
      </c>
      <c r="L47" s="145">
        <f t="shared" si="6"/>
        <v>0.51164345403899725</v>
      </c>
      <c r="M47" s="143">
        <v>4383</v>
      </c>
      <c r="N47" s="145">
        <f t="shared" si="7"/>
        <v>0.48835654596100281</v>
      </c>
      <c r="O47" s="148">
        <v>47.5</v>
      </c>
      <c r="P47" s="107">
        <v>16811</v>
      </c>
      <c r="Q47" s="107">
        <v>8412</v>
      </c>
      <c r="R47" s="108">
        <f t="shared" si="8"/>
        <v>0.50038665159716855</v>
      </c>
      <c r="S47" s="107">
        <v>6192</v>
      </c>
      <c r="T47" s="149">
        <f t="shared" si="9"/>
        <v>0.368330259948843</v>
      </c>
      <c r="U47" s="143">
        <v>4592</v>
      </c>
      <c r="V47" s="107">
        <v>233</v>
      </c>
      <c r="W47" s="108">
        <f t="shared" si="10"/>
        <v>5.0740418118466898E-2</v>
      </c>
      <c r="X47" s="107">
        <v>3061</v>
      </c>
      <c r="Y47" s="150">
        <f t="shared" si="11"/>
        <v>0.66659407665505221</v>
      </c>
      <c r="Z47" s="107">
        <v>98</v>
      </c>
      <c r="AA47" s="108">
        <f t="shared" si="12"/>
        <v>2.1341463414634148E-2</v>
      </c>
      <c r="AB47" s="107">
        <v>507</v>
      </c>
      <c r="AC47" s="108">
        <f t="shared" si="13"/>
        <v>0.11040940766550522</v>
      </c>
      <c r="AD47" s="107">
        <v>693</v>
      </c>
      <c r="AE47" s="108">
        <f t="shared" si="14"/>
        <v>0.15091463414634146</v>
      </c>
      <c r="AF47" s="107">
        <v>4383</v>
      </c>
      <c r="AG47" s="107">
        <v>114</v>
      </c>
      <c r="AH47" s="108">
        <f t="shared" si="15"/>
        <v>2.6009582477754964E-2</v>
      </c>
      <c r="AI47" s="107">
        <v>2614</v>
      </c>
      <c r="AJ47" s="108">
        <f t="shared" si="16"/>
        <v>0.59639516313027607</v>
      </c>
      <c r="AK47" s="107">
        <v>111</v>
      </c>
      <c r="AL47" s="108">
        <f t="shared" si="17"/>
        <v>2.5325119780971937E-2</v>
      </c>
      <c r="AM47" s="107">
        <v>1218</v>
      </c>
      <c r="AN47" s="108">
        <f t="shared" si="18"/>
        <v>0.27789185489390827</v>
      </c>
      <c r="AO47" s="107">
        <v>326</v>
      </c>
      <c r="AP47" s="108">
        <f t="shared" si="19"/>
        <v>7.4378279717088755E-2</v>
      </c>
      <c r="AQ47" s="107">
        <f t="shared" si="20"/>
        <v>8975</v>
      </c>
      <c r="AR47" s="107">
        <f t="shared" si="21"/>
        <v>347</v>
      </c>
      <c r="AS47" s="108">
        <f t="shared" si="22"/>
        <v>3.8662952646239555E-2</v>
      </c>
      <c r="AT47" s="107">
        <f t="shared" si="23"/>
        <v>5675</v>
      </c>
      <c r="AU47" s="108">
        <f t="shared" si="24"/>
        <v>0.63231197771587744</v>
      </c>
      <c r="AV47" s="107">
        <f t="shared" si="25"/>
        <v>209</v>
      </c>
      <c r="AW47" s="108">
        <f t="shared" si="26"/>
        <v>2.3286908077994429E-2</v>
      </c>
      <c r="AX47" s="107">
        <f t="shared" si="27"/>
        <v>1725</v>
      </c>
      <c r="AY47" s="108">
        <f t="shared" si="28"/>
        <v>0.19220055710306408</v>
      </c>
      <c r="AZ47" s="107">
        <f t="shared" si="29"/>
        <v>1019</v>
      </c>
      <c r="BA47" s="108">
        <f t="shared" si="30"/>
        <v>0.11353760445682451</v>
      </c>
      <c r="BB47" s="111">
        <v>4521</v>
      </c>
      <c r="BC47" s="111">
        <v>1456</v>
      </c>
      <c r="BD47" s="152">
        <f t="shared" si="31"/>
        <v>0.32205264322052646</v>
      </c>
      <c r="BE47" s="111">
        <v>4242</v>
      </c>
      <c r="BF47" s="111">
        <v>1056</v>
      </c>
      <c r="BG47" s="152">
        <f t="shared" si="0"/>
        <v>0.24893917963224893</v>
      </c>
      <c r="BH47" s="153">
        <f t="shared" si="32"/>
        <v>8763</v>
      </c>
      <c r="BI47" s="153">
        <f t="shared" si="33"/>
        <v>2512</v>
      </c>
      <c r="BJ47" s="154">
        <f t="shared" si="34"/>
        <v>0.28665981969645099</v>
      </c>
      <c r="BK47" s="107">
        <v>8975</v>
      </c>
      <c r="BL47" s="107">
        <v>2100</v>
      </c>
      <c r="BM47" s="108">
        <f t="shared" si="87"/>
        <v>0.23398328690807799</v>
      </c>
      <c r="BN47" s="107">
        <v>4592</v>
      </c>
      <c r="BO47" s="107">
        <v>956</v>
      </c>
      <c r="BP47" s="108">
        <f t="shared" si="35"/>
        <v>0.20818815331010454</v>
      </c>
      <c r="BQ47" s="107">
        <v>4383</v>
      </c>
      <c r="BR47" s="107">
        <v>1144</v>
      </c>
      <c r="BS47" s="108">
        <f t="shared" si="36"/>
        <v>0.26100844170659365</v>
      </c>
      <c r="BT47" s="113">
        <v>40037</v>
      </c>
      <c r="BU47" s="113">
        <v>9808</v>
      </c>
      <c r="BV47" s="156">
        <f t="shared" si="37"/>
        <v>0.24497339960536504</v>
      </c>
      <c r="BW47" s="156">
        <f t="shared" si="38"/>
        <v>1</v>
      </c>
      <c r="BX47" s="113">
        <v>37486</v>
      </c>
      <c r="BY47" s="113">
        <v>9577</v>
      </c>
      <c r="BZ47" s="156">
        <f t="shared" si="39"/>
        <v>0.25548204663074214</v>
      </c>
      <c r="CA47" s="156">
        <f t="shared" si="40"/>
        <v>0.97644779771615009</v>
      </c>
      <c r="CB47" s="113">
        <v>191</v>
      </c>
      <c r="CC47" s="113">
        <v>12</v>
      </c>
      <c r="CD47" s="156">
        <f t="shared" si="41"/>
        <v>6.2827225130890049E-2</v>
      </c>
      <c r="CE47" s="156">
        <f t="shared" si="88"/>
        <v>1.2234910277324632E-3</v>
      </c>
      <c r="CF47" s="113">
        <v>597</v>
      </c>
      <c r="CG47" s="113">
        <v>65</v>
      </c>
      <c r="CH47" s="156">
        <f t="shared" si="42"/>
        <v>0.10887772194304858</v>
      </c>
      <c r="CI47" s="156">
        <f t="shared" si="43"/>
        <v>6.6272430668841758E-3</v>
      </c>
      <c r="CJ47" s="113">
        <v>243</v>
      </c>
      <c r="CK47" s="113">
        <v>30</v>
      </c>
      <c r="CL47" s="161">
        <f t="shared" si="44"/>
        <v>0.12345679012345678</v>
      </c>
      <c r="CM47" s="156">
        <f t="shared" si="45"/>
        <v>3.0587275693311584E-3</v>
      </c>
      <c r="CN47" s="113">
        <v>6</v>
      </c>
      <c r="CO47" s="113">
        <v>4</v>
      </c>
      <c r="CP47" s="161">
        <f t="shared" si="46"/>
        <v>0.66666666666666663</v>
      </c>
      <c r="CQ47" s="156">
        <f t="shared" si="47"/>
        <v>4.0783034257748778E-4</v>
      </c>
      <c r="CR47" s="105">
        <v>274</v>
      </c>
      <c r="CS47" s="105">
        <v>13</v>
      </c>
      <c r="CT47" s="106">
        <f t="shared" si="48"/>
        <v>4.7445255474452552E-2</v>
      </c>
      <c r="CU47" s="106">
        <f t="shared" si="49"/>
        <v>1.3254486133768353E-3</v>
      </c>
      <c r="CV47" s="113">
        <v>574</v>
      </c>
      <c r="CW47" s="113">
        <v>55</v>
      </c>
      <c r="CX47" s="156">
        <f t="shared" si="50"/>
        <v>9.5818815331010457E-2</v>
      </c>
      <c r="CY47" s="156">
        <f t="shared" si="51"/>
        <v>5.6076672104404569E-3</v>
      </c>
      <c r="CZ47" s="113">
        <v>940</v>
      </c>
      <c r="DA47" s="113">
        <v>65</v>
      </c>
      <c r="DB47" s="156">
        <f t="shared" si="52"/>
        <v>6.9148936170212769E-2</v>
      </c>
      <c r="DC47" s="156">
        <f t="shared" si="89"/>
        <v>6.6272430668841758E-3</v>
      </c>
      <c r="DD47" s="107">
        <v>4592</v>
      </c>
      <c r="DE47" s="107">
        <v>339</v>
      </c>
      <c r="DF47" s="107">
        <v>2253</v>
      </c>
      <c r="DG47" s="107">
        <v>1344</v>
      </c>
      <c r="DH47" s="107">
        <v>656</v>
      </c>
      <c r="DI47" s="149">
        <f t="shared" si="53"/>
        <v>7.3824041811846694E-2</v>
      </c>
      <c r="DJ47" s="149">
        <f t="shared" si="54"/>
        <v>0.49063588850174217</v>
      </c>
      <c r="DK47" s="149">
        <f t="shared" si="55"/>
        <v>0.43554006968641112</v>
      </c>
      <c r="DL47" s="107">
        <v>4383</v>
      </c>
      <c r="DM47" s="107">
        <v>363</v>
      </c>
      <c r="DN47" s="107">
        <v>2021</v>
      </c>
      <c r="DO47" s="107">
        <v>1321</v>
      </c>
      <c r="DP47" s="107">
        <v>678</v>
      </c>
      <c r="DQ47" s="149">
        <f t="shared" si="56"/>
        <v>8.2819986310746066E-2</v>
      </c>
      <c r="DR47" s="149">
        <f t="shared" si="57"/>
        <v>0.46109970339949807</v>
      </c>
      <c r="DS47" s="149">
        <f t="shared" si="58"/>
        <v>0.45608031028975587</v>
      </c>
      <c r="DT47" s="107">
        <f t="shared" si="59"/>
        <v>8975</v>
      </c>
      <c r="DU47" s="107">
        <f t="shared" si="60"/>
        <v>702</v>
      </c>
      <c r="DV47" s="107">
        <f t="shared" si="61"/>
        <v>4274</v>
      </c>
      <c r="DW47" s="107">
        <f t="shared" si="62"/>
        <v>2665</v>
      </c>
      <c r="DX47" s="107">
        <f t="shared" si="63"/>
        <v>1334</v>
      </c>
      <c r="DY47" s="108">
        <f t="shared" si="64"/>
        <v>7.8217270194986074E-2</v>
      </c>
      <c r="DZ47" s="108">
        <f t="shared" si="65"/>
        <v>0.47621169916434541</v>
      </c>
      <c r="EA47" s="108">
        <f t="shared" si="66"/>
        <v>0.4455710306406685</v>
      </c>
      <c r="EB47" s="107">
        <v>5516</v>
      </c>
      <c r="EC47" s="110">
        <v>494</v>
      </c>
      <c r="ED47" s="108">
        <f t="shared" si="67"/>
        <v>8.9557650471356054E-2</v>
      </c>
      <c r="EE47" s="107">
        <v>1054</v>
      </c>
      <c r="EF47" s="108">
        <f t="shared" si="67"/>
        <v>0.19108049311094996</v>
      </c>
      <c r="EG47" s="107">
        <v>1826</v>
      </c>
      <c r="EH47" s="108">
        <f t="shared" ref="EH47" si="377">EG47/$EB47</f>
        <v>0.33103698332124726</v>
      </c>
      <c r="EI47" s="107">
        <v>2578</v>
      </c>
      <c r="EJ47" s="108">
        <f t="shared" ref="EJ47" si="378">EI47/$EB47</f>
        <v>0.46736765772298766</v>
      </c>
      <c r="EK47" s="107">
        <v>3748</v>
      </c>
      <c r="EL47" s="108">
        <f t="shared" ref="EL47" si="379">EK47/$EB47</f>
        <v>0.67947788252356778</v>
      </c>
      <c r="EM47" s="107">
        <v>4427</v>
      </c>
      <c r="EN47" s="108">
        <f t="shared" ref="EN47" si="380">EM47/$EB47</f>
        <v>0.80257432922407546</v>
      </c>
      <c r="EO47" s="163">
        <v>75049</v>
      </c>
      <c r="EP47" s="163">
        <v>71184</v>
      </c>
      <c r="EQ47" s="163">
        <v>94234</v>
      </c>
      <c r="ER47" s="163">
        <v>89129</v>
      </c>
      <c r="ES47" s="163">
        <v>52783</v>
      </c>
      <c r="ET47" s="107">
        <v>4521</v>
      </c>
      <c r="EU47" s="107">
        <v>336</v>
      </c>
      <c r="EV47" s="108">
        <f t="shared" si="72"/>
        <v>7.4319840743198404E-2</v>
      </c>
      <c r="EW47" s="107">
        <v>4242</v>
      </c>
      <c r="EX47" s="107">
        <v>493</v>
      </c>
      <c r="EY47" s="108">
        <f t="shared" si="73"/>
        <v>0.11621876473361623</v>
      </c>
      <c r="EZ47" s="107">
        <f t="shared" si="74"/>
        <v>8763</v>
      </c>
      <c r="FA47" s="107">
        <f t="shared" si="75"/>
        <v>829</v>
      </c>
      <c r="FB47" s="108">
        <f t="shared" si="76"/>
        <v>9.4602305146639282E-2</v>
      </c>
      <c r="FC47" s="107">
        <v>8763</v>
      </c>
      <c r="FD47" s="107">
        <v>829</v>
      </c>
      <c r="FE47" s="108">
        <f t="shared" si="77"/>
        <v>9.4602305146639282E-2</v>
      </c>
      <c r="FF47" s="107">
        <v>1509</v>
      </c>
      <c r="FG47" s="108">
        <f t="shared" si="77"/>
        <v>0.17220130092434097</v>
      </c>
      <c r="FH47" s="107">
        <v>2334</v>
      </c>
      <c r="FI47" s="108">
        <f t="shared" ref="FI47" si="381">FH47/$FC47</f>
        <v>0.26634714138993493</v>
      </c>
      <c r="FJ47" s="107">
        <v>2546</v>
      </c>
      <c r="FK47" s="108">
        <f t="shared" ref="FK47" si="382">FJ47/$FC47</f>
        <v>0.29053976948533605</v>
      </c>
      <c r="FL47" s="107">
        <v>4287</v>
      </c>
      <c r="FM47" s="108">
        <f t="shared" ref="FM47" si="383">FL47/$FC47</f>
        <v>0.48921602191030467</v>
      </c>
      <c r="FN47" s="107">
        <v>592</v>
      </c>
      <c r="FO47" s="108">
        <v>0.1951219512195122</v>
      </c>
      <c r="FP47" s="107">
        <v>3</v>
      </c>
      <c r="FQ47" s="108">
        <v>9.8879367172050102E-4</v>
      </c>
      <c r="FR47" s="107">
        <v>113</v>
      </c>
      <c r="FS47" s="108">
        <v>7.2528883183568676E-2</v>
      </c>
      <c r="FT47" s="110">
        <v>0</v>
      </c>
      <c r="FU47" s="108">
        <v>0</v>
      </c>
      <c r="FV47" s="107">
        <v>353</v>
      </c>
      <c r="FW47" s="108">
        <v>0.13587374903772131</v>
      </c>
      <c r="FX47" s="107">
        <v>5</v>
      </c>
      <c r="FY47" s="108">
        <v>1.924557351809084E-3</v>
      </c>
      <c r="FZ47" s="107">
        <v>28</v>
      </c>
      <c r="GA47" s="108">
        <v>1.5686274509803921E-2</v>
      </c>
      <c r="GB47" s="107">
        <v>0</v>
      </c>
      <c r="GC47" s="108">
        <v>0</v>
      </c>
      <c r="GD47" s="107">
        <v>1086</v>
      </c>
      <c r="GE47" s="117">
        <v>0.12100278551532033</v>
      </c>
      <c r="GF47" s="107">
        <v>8</v>
      </c>
      <c r="GG47" s="117">
        <v>8.9136490250696376E-4</v>
      </c>
      <c r="GH47" s="107">
        <v>5516</v>
      </c>
      <c r="GI47" s="107">
        <v>695</v>
      </c>
      <c r="GJ47" s="108">
        <f t="shared" si="81"/>
        <v>0.12599709934735315</v>
      </c>
      <c r="GK47" s="107">
        <v>263</v>
      </c>
      <c r="GL47" s="108">
        <f t="shared" si="82"/>
        <v>0.37841726618705035</v>
      </c>
      <c r="GM47" s="107">
        <v>267</v>
      </c>
      <c r="GN47" s="108">
        <f t="shared" si="83"/>
        <v>0.38417266187050358</v>
      </c>
      <c r="GO47" s="107">
        <v>4821</v>
      </c>
      <c r="GP47" s="108">
        <f t="shared" si="84"/>
        <v>0.87400290065264685</v>
      </c>
      <c r="GQ47" s="107">
        <v>3621</v>
      </c>
      <c r="GR47" s="108">
        <f t="shared" si="85"/>
        <v>0.75108898568761673</v>
      </c>
      <c r="GS47" s="107">
        <v>1119</v>
      </c>
      <c r="GT47" s="108">
        <f t="shared" si="86"/>
        <v>0.23210952084629746</v>
      </c>
    </row>
    <row r="48" spans="1:202" x14ac:dyDescent="0.25">
      <c r="A48" s="104" t="s">
        <v>220</v>
      </c>
      <c r="B48" s="143">
        <v>38167</v>
      </c>
      <c r="C48" s="143">
        <v>14824</v>
      </c>
      <c r="D48" s="143">
        <v>10800</v>
      </c>
      <c r="E48" s="143">
        <v>4185</v>
      </c>
      <c r="F48" s="143">
        <v>1199</v>
      </c>
      <c r="G48" s="144">
        <f t="shared" si="2"/>
        <v>0.38839835459952315</v>
      </c>
      <c r="H48" s="144">
        <f t="shared" si="3"/>
        <v>0.28296696098724028</v>
      </c>
      <c r="I48" s="144">
        <f t="shared" si="4"/>
        <v>0.10964969738255562</v>
      </c>
      <c r="J48" s="144">
        <f t="shared" si="5"/>
        <v>3.1414572798490845E-2</v>
      </c>
      <c r="K48" s="143">
        <v>5366</v>
      </c>
      <c r="L48" s="145">
        <f t="shared" si="6"/>
        <v>0.49685185185185188</v>
      </c>
      <c r="M48" s="143">
        <v>5434</v>
      </c>
      <c r="N48" s="145">
        <f t="shared" si="7"/>
        <v>0.50314814814814812</v>
      </c>
      <c r="O48" s="148">
        <v>52.7</v>
      </c>
      <c r="P48" s="107">
        <v>17493</v>
      </c>
      <c r="Q48" s="107">
        <v>9795</v>
      </c>
      <c r="R48" s="108">
        <f t="shared" si="8"/>
        <v>0.55993826101869315</v>
      </c>
      <c r="S48" s="107">
        <v>7638</v>
      </c>
      <c r="T48" s="149">
        <f t="shared" si="9"/>
        <v>0.43663179557537302</v>
      </c>
      <c r="U48" s="143">
        <v>5366</v>
      </c>
      <c r="V48" s="107">
        <v>246</v>
      </c>
      <c r="W48" s="108">
        <f t="shared" si="10"/>
        <v>4.5844204248975028E-2</v>
      </c>
      <c r="X48" s="107">
        <v>3772</v>
      </c>
      <c r="Y48" s="150">
        <f t="shared" si="11"/>
        <v>0.70294446515095044</v>
      </c>
      <c r="Z48" s="107">
        <v>93</v>
      </c>
      <c r="AA48" s="108">
        <f t="shared" si="12"/>
        <v>1.7331345508758852E-2</v>
      </c>
      <c r="AB48" s="107">
        <v>580</v>
      </c>
      <c r="AC48" s="108">
        <f t="shared" si="13"/>
        <v>0.1080879612374208</v>
      </c>
      <c r="AD48" s="107">
        <v>675</v>
      </c>
      <c r="AE48" s="108">
        <f t="shared" si="14"/>
        <v>0.1257920238538949</v>
      </c>
      <c r="AF48" s="107">
        <v>5434</v>
      </c>
      <c r="AG48" s="107">
        <v>188</v>
      </c>
      <c r="AH48" s="108">
        <f t="shared" si="15"/>
        <v>3.459698196540302E-2</v>
      </c>
      <c r="AI48" s="107">
        <v>3093</v>
      </c>
      <c r="AJ48" s="108">
        <f t="shared" si="16"/>
        <v>0.56919396393080601</v>
      </c>
      <c r="AK48" s="107">
        <v>221</v>
      </c>
      <c r="AL48" s="108">
        <f t="shared" si="17"/>
        <v>4.0669856459330141E-2</v>
      </c>
      <c r="AM48" s="107">
        <v>1229</v>
      </c>
      <c r="AN48" s="108">
        <f t="shared" si="18"/>
        <v>0.22616856827383144</v>
      </c>
      <c r="AO48" s="107">
        <v>703</v>
      </c>
      <c r="AP48" s="108">
        <f t="shared" si="19"/>
        <v>0.12937062937062938</v>
      </c>
      <c r="AQ48" s="107">
        <f t="shared" si="20"/>
        <v>10800</v>
      </c>
      <c r="AR48" s="107">
        <f t="shared" si="21"/>
        <v>434</v>
      </c>
      <c r="AS48" s="108">
        <f t="shared" si="22"/>
        <v>4.0185185185185185E-2</v>
      </c>
      <c r="AT48" s="107">
        <f t="shared" si="23"/>
        <v>6865</v>
      </c>
      <c r="AU48" s="108">
        <f t="shared" si="24"/>
        <v>0.63564814814814818</v>
      </c>
      <c r="AV48" s="107">
        <f t="shared" si="25"/>
        <v>314</v>
      </c>
      <c r="AW48" s="108">
        <f t="shared" si="26"/>
        <v>2.9074074074074075E-2</v>
      </c>
      <c r="AX48" s="107">
        <f t="shared" si="27"/>
        <v>1809</v>
      </c>
      <c r="AY48" s="108">
        <f t="shared" si="28"/>
        <v>0.16750000000000001</v>
      </c>
      <c r="AZ48" s="107">
        <f t="shared" si="29"/>
        <v>1378</v>
      </c>
      <c r="BA48" s="108">
        <f t="shared" si="30"/>
        <v>0.12759259259259259</v>
      </c>
      <c r="BB48" s="111">
        <v>5263</v>
      </c>
      <c r="BC48" s="111">
        <v>1389</v>
      </c>
      <c r="BD48" s="152">
        <f t="shared" si="31"/>
        <v>0.26391791753752614</v>
      </c>
      <c r="BE48" s="111">
        <v>5292</v>
      </c>
      <c r="BF48" s="111">
        <v>1257</v>
      </c>
      <c r="BG48" s="152">
        <f t="shared" si="0"/>
        <v>0.23752834467120182</v>
      </c>
      <c r="BH48" s="153">
        <f t="shared" si="32"/>
        <v>10555</v>
      </c>
      <c r="BI48" s="153">
        <f t="shared" si="33"/>
        <v>2646</v>
      </c>
      <c r="BJ48" s="154">
        <f t="shared" si="34"/>
        <v>0.25068687825675035</v>
      </c>
      <c r="BK48" s="107">
        <v>10800</v>
      </c>
      <c r="BL48" s="107">
        <v>2753</v>
      </c>
      <c r="BM48" s="108">
        <f t="shared" si="87"/>
        <v>0.25490740740740742</v>
      </c>
      <c r="BN48" s="107">
        <v>5366</v>
      </c>
      <c r="BO48" s="107">
        <v>1130</v>
      </c>
      <c r="BP48" s="108">
        <f t="shared" si="35"/>
        <v>0.21058516585911294</v>
      </c>
      <c r="BQ48" s="107">
        <v>5434</v>
      </c>
      <c r="BR48" s="107">
        <v>1623</v>
      </c>
      <c r="BS48" s="108">
        <f t="shared" si="36"/>
        <v>0.298675009201325</v>
      </c>
      <c r="BT48" s="113">
        <v>38175</v>
      </c>
      <c r="BU48" s="113">
        <v>11533</v>
      </c>
      <c r="BV48" s="156">
        <f t="shared" si="37"/>
        <v>0.30210870988867061</v>
      </c>
      <c r="BW48" s="156">
        <f t="shared" si="38"/>
        <v>1</v>
      </c>
      <c r="BX48" s="113">
        <v>35977</v>
      </c>
      <c r="BY48" s="113">
        <v>11279</v>
      </c>
      <c r="BZ48" s="156">
        <f t="shared" si="39"/>
        <v>0.31350585096033579</v>
      </c>
      <c r="CA48" s="156">
        <f t="shared" si="40"/>
        <v>0.97797624208792167</v>
      </c>
      <c r="CB48" s="113">
        <v>233</v>
      </c>
      <c r="CC48" s="113">
        <v>20</v>
      </c>
      <c r="CD48" s="156">
        <f t="shared" si="41"/>
        <v>8.5836909871244635E-2</v>
      </c>
      <c r="CE48" s="156">
        <f t="shared" si="88"/>
        <v>1.7341541663053845E-3</v>
      </c>
      <c r="CF48" s="113">
        <v>440</v>
      </c>
      <c r="CG48" s="113">
        <v>60</v>
      </c>
      <c r="CH48" s="156">
        <f t="shared" si="42"/>
        <v>0.13636363636363635</v>
      </c>
      <c r="CI48" s="156">
        <f t="shared" si="43"/>
        <v>5.2024624989161538E-3</v>
      </c>
      <c r="CJ48" s="113">
        <v>307</v>
      </c>
      <c r="CK48" s="113">
        <v>47</v>
      </c>
      <c r="CL48" s="161">
        <f t="shared" si="44"/>
        <v>0.15309446254071662</v>
      </c>
      <c r="CM48" s="156">
        <f t="shared" si="45"/>
        <v>4.0752622908176534E-3</v>
      </c>
      <c r="CN48" s="113">
        <v>13</v>
      </c>
      <c r="CO48" s="113">
        <v>1</v>
      </c>
      <c r="CP48" s="161">
        <f t="shared" si="46"/>
        <v>7.6923076923076927E-2</v>
      </c>
      <c r="CQ48" s="156">
        <f t="shared" si="47"/>
        <v>8.6707708315269226E-5</v>
      </c>
      <c r="CR48" s="105">
        <v>53</v>
      </c>
      <c r="CS48" s="105">
        <v>2</v>
      </c>
      <c r="CT48" s="106">
        <f t="shared" si="48"/>
        <v>3.7735849056603772E-2</v>
      </c>
      <c r="CU48" s="106">
        <f t="shared" si="49"/>
        <v>1.7341541663053845E-4</v>
      </c>
      <c r="CV48" s="113">
        <v>505</v>
      </c>
      <c r="CW48" s="113">
        <v>88</v>
      </c>
      <c r="CX48" s="156">
        <f t="shared" si="50"/>
        <v>0.17425742574257425</v>
      </c>
      <c r="CY48" s="156">
        <f t="shared" si="51"/>
        <v>7.6302783317436923E-3</v>
      </c>
      <c r="CZ48" s="113">
        <v>700</v>
      </c>
      <c r="DA48" s="113">
        <v>38</v>
      </c>
      <c r="DB48" s="156">
        <f t="shared" si="52"/>
        <v>5.4285714285714284E-2</v>
      </c>
      <c r="DC48" s="156">
        <f t="shared" si="89"/>
        <v>3.2948929159802307E-3</v>
      </c>
      <c r="DD48" s="107">
        <v>5366</v>
      </c>
      <c r="DE48" s="107">
        <v>204</v>
      </c>
      <c r="DF48" s="107">
        <v>1730</v>
      </c>
      <c r="DG48" s="107">
        <v>1799</v>
      </c>
      <c r="DH48" s="107">
        <v>1633</v>
      </c>
      <c r="DI48" s="149">
        <f t="shared" si="53"/>
        <v>3.8017144986954902E-2</v>
      </c>
      <c r="DJ48" s="149">
        <f t="shared" si="54"/>
        <v>0.32240029817368615</v>
      </c>
      <c r="DK48" s="149">
        <f t="shared" si="55"/>
        <v>0.63958255683935894</v>
      </c>
      <c r="DL48" s="107">
        <v>5434</v>
      </c>
      <c r="DM48" s="107">
        <v>274</v>
      </c>
      <c r="DN48" s="107">
        <v>1836</v>
      </c>
      <c r="DO48" s="107">
        <v>2126</v>
      </c>
      <c r="DP48" s="107">
        <v>1198</v>
      </c>
      <c r="DQ48" s="149">
        <f t="shared" si="56"/>
        <v>5.0423260949576741E-2</v>
      </c>
      <c r="DR48" s="149">
        <f t="shared" si="57"/>
        <v>0.33787265366212732</v>
      </c>
      <c r="DS48" s="149">
        <f t="shared" si="58"/>
        <v>0.6117040853882959</v>
      </c>
      <c r="DT48" s="107">
        <f t="shared" si="59"/>
        <v>10800</v>
      </c>
      <c r="DU48" s="107">
        <f t="shared" si="60"/>
        <v>478</v>
      </c>
      <c r="DV48" s="107">
        <f t="shared" si="61"/>
        <v>3566</v>
      </c>
      <c r="DW48" s="107">
        <f t="shared" si="62"/>
        <v>3925</v>
      </c>
      <c r="DX48" s="107">
        <f t="shared" si="63"/>
        <v>2831</v>
      </c>
      <c r="DY48" s="108">
        <f t="shared" si="64"/>
        <v>4.4259259259259262E-2</v>
      </c>
      <c r="DZ48" s="108">
        <f t="shared" si="65"/>
        <v>0.33018518518518519</v>
      </c>
      <c r="EA48" s="108">
        <f t="shared" si="66"/>
        <v>0.62555555555555553</v>
      </c>
      <c r="EB48" s="107">
        <v>6828</v>
      </c>
      <c r="EC48" s="110">
        <v>447</v>
      </c>
      <c r="ED48" s="108">
        <f t="shared" si="67"/>
        <v>6.5465729349736379E-2</v>
      </c>
      <c r="EE48" s="107">
        <v>1159</v>
      </c>
      <c r="EF48" s="108">
        <f t="shared" si="67"/>
        <v>0.16974223784417106</v>
      </c>
      <c r="EG48" s="107">
        <v>2127</v>
      </c>
      <c r="EH48" s="108">
        <f t="shared" ref="EH48" si="384">EG48/$EB48</f>
        <v>0.31151142355008787</v>
      </c>
      <c r="EI48" s="107">
        <v>2911</v>
      </c>
      <c r="EJ48" s="108">
        <f t="shared" ref="EJ48" si="385">EI48/$EB48</f>
        <v>0.42633274751025191</v>
      </c>
      <c r="EK48" s="107">
        <v>4438</v>
      </c>
      <c r="EL48" s="108">
        <f t="shared" ref="EL48" si="386">EK48/$EB48</f>
        <v>0.64997070884592856</v>
      </c>
      <c r="EM48" s="107">
        <v>5274</v>
      </c>
      <c r="EN48" s="108">
        <f t="shared" ref="EN48" si="387">EM48/$EB48</f>
        <v>0.7724077328646749</v>
      </c>
      <c r="EO48" s="163">
        <v>69371</v>
      </c>
      <c r="EP48" s="163">
        <v>56875</v>
      </c>
      <c r="EQ48" s="163">
        <v>84057</v>
      </c>
      <c r="ER48" s="163">
        <v>80015</v>
      </c>
      <c r="ES48" s="163">
        <v>55830</v>
      </c>
      <c r="ET48" s="107">
        <v>5263</v>
      </c>
      <c r="EU48" s="107">
        <v>306</v>
      </c>
      <c r="EV48" s="108">
        <f t="shared" si="72"/>
        <v>5.8141744252327571E-2</v>
      </c>
      <c r="EW48" s="107">
        <v>5292</v>
      </c>
      <c r="EX48" s="107">
        <v>426</v>
      </c>
      <c r="EY48" s="108">
        <f t="shared" si="73"/>
        <v>8.0498866213151929E-2</v>
      </c>
      <c r="EZ48" s="107">
        <f t="shared" si="74"/>
        <v>10555</v>
      </c>
      <c r="FA48" s="107">
        <f t="shared" si="75"/>
        <v>732</v>
      </c>
      <c r="FB48" s="108">
        <f t="shared" si="76"/>
        <v>6.9351018474656564E-2</v>
      </c>
      <c r="FC48" s="107">
        <v>10555</v>
      </c>
      <c r="FD48" s="107">
        <v>732</v>
      </c>
      <c r="FE48" s="108">
        <f t="shared" si="77"/>
        <v>6.9351018474656564E-2</v>
      </c>
      <c r="FF48" s="107">
        <v>1528</v>
      </c>
      <c r="FG48" s="108">
        <f t="shared" si="77"/>
        <v>0.1447655139744197</v>
      </c>
      <c r="FH48" s="107">
        <v>2202</v>
      </c>
      <c r="FI48" s="108">
        <f t="shared" ref="FI48" si="388">FH48/$FC48</f>
        <v>0.20862150639507343</v>
      </c>
      <c r="FJ48" s="107">
        <v>2693</v>
      </c>
      <c r="FK48" s="108">
        <f t="shared" ref="FK48" si="389">FJ48/$FC48</f>
        <v>0.25513974419706298</v>
      </c>
      <c r="FL48" s="107">
        <v>4851</v>
      </c>
      <c r="FM48" s="108">
        <f t="shared" ref="FM48" si="390">FL48/$FC48</f>
        <v>0.45959261013737568</v>
      </c>
      <c r="FN48" s="107">
        <v>748</v>
      </c>
      <c r="FO48" s="108">
        <v>0.22019428907859875</v>
      </c>
      <c r="FP48" s="107">
        <v>9</v>
      </c>
      <c r="FQ48" s="108">
        <v>2.6493965263467765E-3</v>
      </c>
      <c r="FR48" s="107">
        <v>156</v>
      </c>
      <c r="FS48" s="108">
        <v>7.9228034535297101E-2</v>
      </c>
      <c r="FT48" s="110">
        <v>0</v>
      </c>
      <c r="FU48" s="108">
        <v>0</v>
      </c>
      <c r="FV48" s="107">
        <v>686</v>
      </c>
      <c r="FW48" s="108">
        <v>0.21317588564325668</v>
      </c>
      <c r="FX48" s="107">
        <v>3</v>
      </c>
      <c r="FY48" s="108">
        <v>9.3225605966438781E-4</v>
      </c>
      <c r="FZ48" s="107">
        <v>79</v>
      </c>
      <c r="GA48" s="108">
        <v>3.5649819494584838E-2</v>
      </c>
      <c r="GB48" s="107">
        <v>0</v>
      </c>
      <c r="GC48" s="108">
        <v>0</v>
      </c>
      <c r="GD48" s="107">
        <v>1669</v>
      </c>
      <c r="GE48" s="117">
        <v>0.15453703703703703</v>
      </c>
      <c r="GF48" s="107">
        <v>12</v>
      </c>
      <c r="GG48" s="117">
        <v>1.1111111111111111E-3</v>
      </c>
      <c r="GH48" s="107">
        <v>6828</v>
      </c>
      <c r="GI48" s="107">
        <v>860</v>
      </c>
      <c r="GJ48" s="108">
        <f t="shared" si="81"/>
        <v>0.1259519625073228</v>
      </c>
      <c r="GK48" s="107">
        <v>269</v>
      </c>
      <c r="GL48" s="108">
        <f t="shared" si="82"/>
        <v>0.31279069767441858</v>
      </c>
      <c r="GM48" s="107">
        <v>442</v>
      </c>
      <c r="GN48" s="108">
        <f t="shared" si="83"/>
        <v>0.51395348837209298</v>
      </c>
      <c r="GO48" s="107">
        <v>5968</v>
      </c>
      <c r="GP48" s="108">
        <f t="shared" si="84"/>
        <v>0.87404803749267723</v>
      </c>
      <c r="GQ48" s="107">
        <v>4660</v>
      </c>
      <c r="GR48" s="108">
        <f t="shared" si="85"/>
        <v>0.78083109919571048</v>
      </c>
      <c r="GS48" s="107">
        <v>1275</v>
      </c>
      <c r="GT48" s="108">
        <f t="shared" si="86"/>
        <v>0.21363941018766755</v>
      </c>
    </row>
    <row r="49" spans="1:202" x14ac:dyDescent="0.25">
      <c r="A49" s="104" t="s">
        <v>221</v>
      </c>
      <c r="B49" s="143">
        <v>192826</v>
      </c>
      <c r="C49" s="143">
        <v>45208</v>
      </c>
      <c r="D49" s="143">
        <v>31983</v>
      </c>
      <c r="E49" s="143">
        <v>12674</v>
      </c>
      <c r="F49" s="143">
        <v>3856</v>
      </c>
      <c r="G49" s="144">
        <f t="shared" si="2"/>
        <v>0.23444971113853941</v>
      </c>
      <c r="H49" s="144">
        <f t="shared" si="3"/>
        <v>0.16586456183294784</v>
      </c>
      <c r="I49" s="144">
        <f t="shared" si="4"/>
        <v>6.5727650835468249E-2</v>
      </c>
      <c r="J49" s="144">
        <f t="shared" si="5"/>
        <v>1.9997303268231462E-2</v>
      </c>
      <c r="K49" s="143">
        <v>14637</v>
      </c>
      <c r="L49" s="145">
        <f t="shared" si="6"/>
        <v>0.45764937623112278</v>
      </c>
      <c r="M49" s="143">
        <v>17346</v>
      </c>
      <c r="N49" s="145">
        <f t="shared" si="7"/>
        <v>0.54235062376887722</v>
      </c>
      <c r="O49" s="148">
        <v>38.9</v>
      </c>
      <c r="P49" s="107">
        <v>78382</v>
      </c>
      <c r="Q49" s="107">
        <v>30408</v>
      </c>
      <c r="R49" s="108">
        <f t="shared" si="8"/>
        <v>0.38794621214054248</v>
      </c>
      <c r="S49" s="107">
        <v>22484</v>
      </c>
      <c r="T49" s="149">
        <f t="shared" si="9"/>
        <v>0.28685157306524456</v>
      </c>
      <c r="U49" s="143">
        <v>14637</v>
      </c>
      <c r="V49" s="107">
        <v>668</v>
      </c>
      <c r="W49" s="108">
        <f t="shared" si="10"/>
        <v>4.5637767302042768E-2</v>
      </c>
      <c r="X49" s="107">
        <v>10612</v>
      </c>
      <c r="Y49" s="150">
        <f t="shared" si="11"/>
        <v>0.72501195600191293</v>
      </c>
      <c r="Z49" s="107">
        <v>366</v>
      </c>
      <c r="AA49" s="108">
        <f t="shared" si="12"/>
        <v>2.5005124000819841E-2</v>
      </c>
      <c r="AB49" s="107">
        <v>1363</v>
      </c>
      <c r="AC49" s="108">
        <f t="shared" si="13"/>
        <v>9.3120174899227984E-2</v>
      </c>
      <c r="AD49" s="107">
        <v>1628</v>
      </c>
      <c r="AE49" s="108">
        <f t="shared" si="14"/>
        <v>0.11122497779599645</v>
      </c>
      <c r="AF49" s="107">
        <v>17346</v>
      </c>
      <c r="AG49" s="107">
        <v>819</v>
      </c>
      <c r="AH49" s="108">
        <f t="shared" si="15"/>
        <v>4.7215496368038741E-2</v>
      </c>
      <c r="AI49" s="107">
        <v>8256</v>
      </c>
      <c r="AJ49" s="108">
        <f t="shared" si="16"/>
        <v>0.47595987547561397</v>
      </c>
      <c r="AK49" s="107">
        <v>386</v>
      </c>
      <c r="AL49" s="108">
        <f t="shared" si="17"/>
        <v>2.2252968984203852E-2</v>
      </c>
      <c r="AM49" s="107">
        <v>4870</v>
      </c>
      <c r="AN49" s="108">
        <f t="shared" si="18"/>
        <v>0.2807563703447481</v>
      </c>
      <c r="AO49" s="107">
        <v>3015</v>
      </c>
      <c r="AP49" s="108">
        <f t="shared" si="19"/>
        <v>0.17381528882739536</v>
      </c>
      <c r="AQ49" s="107">
        <f t="shared" si="20"/>
        <v>31983</v>
      </c>
      <c r="AR49" s="107">
        <f t="shared" si="21"/>
        <v>1487</v>
      </c>
      <c r="AS49" s="108">
        <f t="shared" si="22"/>
        <v>4.6493449645123974E-2</v>
      </c>
      <c r="AT49" s="107">
        <f t="shared" si="23"/>
        <v>18868</v>
      </c>
      <c r="AU49" s="108">
        <f t="shared" si="24"/>
        <v>0.58993840477753812</v>
      </c>
      <c r="AV49" s="107">
        <f t="shared" si="25"/>
        <v>752</v>
      </c>
      <c r="AW49" s="108">
        <f t="shared" si="26"/>
        <v>2.3512491010849512E-2</v>
      </c>
      <c r="AX49" s="107">
        <f t="shared" si="27"/>
        <v>6233</v>
      </c>
      <c r="AY49" s="108">
        <f t="shared" si="28"/>
        <v>0.19488478254072475</v>
      </c>
      <c r="AZ49" s="107">
        <f t="shared" si="29"/>
        <v>4643</v>
      </c>
      <c r="BA49" s="108">
        <f t="shared" si="30"/>
        <v>0.14517087202576368</v>
      </c>
      <c r="BB49" s="111">
        <v>14387</v>
      </c>
      <c r="BC49" s="111">
        <v>4078</v>
      </c>
      <c r="BD49" s="152">
        <f t="shared" si="31"/>
        <v>0.28345033710989087</v>
      </c>
      <c r="BE49" s="111">
        <v>16714</v>
      </c>
      <c r="BF49" s="111">
        <v>5388</v>
      </c>
      <c r="BG49" s="152">
        <f t="shared" si="0"/>
        <v>0.32236448486298913</v>
      </c>
      <c r="BH49" s="153">
        <f t="shared" si="32"/>
        <v>31101</v>
      </c>
      <c r="BI49" s="153">
        <f t="shared" si="33"/>
        <v>9466</v>
      </c>
      <c r="BJ49" s="154">
        <f t="shared" si="34"/>
        <v>0.30436320375550624</v>
      </c>
      <c r="BK49" s="107">
        <v>31983</v>
      </c>
      <c r="BL49" s="107">
        <v>9416</v>
      </c>
      <c r="BM49" s="108">
        <f t="shared" si="87"/>
        <v>0.29440640340180724</v>
      </c>
      <c r="BN49" s="107">
        <v>14637</v>
      </c>
      <c r="BO49" s="107">
        <v>2820</v>
      </c>
      <c r="BP49" s="108">
        <f t="shared" si="35"/>
        <v>0.19266243082598894</v>
      </c>
      <c r="BQ49" s="107">
        <v>17346</v>
      </c>
      <c r="BR49" s="107">
        <v>6596</v>
      </c>
      <c r="BS49" s="108">
        <f t="shared" si="36"/>
        <v>0.38026057880779429</v>
      </c>
      <c r="BT49" s="113">
        <v>195390</v>
      </c>
      <c r="BU49" s="113">
        <v>34527</v>
      </c>
      <c r="BV49" s="156">
        <f t="shared" si="37"/>
        <v>0.17670812221710425</v>
      </c>
      <c r="BW49" s="156">
        <f t="shared" si="38"/>
        <v>1</v>
      </c>
      <c r="BX49" s="113">
        <v>165917</v>
      </c>
      <c r="BY49" s="113">
        <v>32797</v>
      </c>
      <c r="BZ49" s="156">
        <f t="shared" si="39"/>
        <v>0.19767112471898599</v>
      </c>
      <c r="CA49" s="156">
        <f t="shared" si="40"/>
        <v>0.94989428563153477</v>
      </c>
      <c r="CB49" s="113">
        <v>3820</v>
      </c>
      <c r="CC49" s="113">
        <v>121</v>
      </c>
      <c r="CD49" s="156">
        <f t="shared" si="41"/>
        <v>3.1675392670157065E-2</v>
      </c>
      <c r="CE49" s="156">
        <f t="shared" si="88"/>
        <v>3.5045037217250269E-3</v>
      </c>
      <c r="CF49" s="113">
        <v>3020</v>
      </c>
      <c r="CG49" s="113">
        <v>463</v>
      </c>
      <c r="CH49" s="156">
        <f t="shared" si="42"/>
        <v>0.15331125827814571</v>
      </c>
      <c r="CI49" s="156">
        <f t="shared" si="43"/>
        <v>1.3409795232716425E-2</v>
      </c>
      <c r="CJ49" s="113">
        <v>7710</v>
      </c>
      <c r="CK49" s="113">
        <v>464</v>
      </c>
      <c r="CL49" s="161">
        <f t="shared" si="44"/>
        <v>6.0181582360570689E-2</v>
      </c>
      <c r="CM49" s="156">
        <f t="shared" si="45"/>
        <v>1.3438758073391838E-2</v>
      </c>
      <c r="CN49" s="113">
        <v>144</v>
      </c>
      <c r="CO49" s="113">
        <v>6</v>
      </c>
      <c r="CP49" s="161">
        <f t="shared" si="46"/>
        <v>4.1666666666666664E-2</v>
      </c>
      <c r="CQ49" s="156">
        <f t="shared" si="47"/>
        <v>1.7377704405248067E-4</v>
      </c>
      <c r="CR49" s="105">
        <v>2652</v>
      </c>
      <c r="CS49" s="105">
        <v>108</v>
      </c>
      <c r="CT49" s="106">
        <f t="shared" si="48"/>
        <v>4.072398190045249E-2</v>
      </c>
      <c r="CU49" s="106">
        <f t="shared" si="49"/>
        <v>3.1279867929446519E-3</v>
      </c>
      <c r="CV49" s="113">
        <v>3715</v>
      </c>
      <c r="CW49" s="113">
        <v>156</v>
      </c>
      <c r="CX49" s="156">
        <f t="shared" si="50"/>
        <v>4.1991924629878871E-2</v>
      </c>
      <c r="CY49" s="156">
        <f t="shared" si="51"/>
        <v>4.5182031453644975E-3</v>
      </c>
      <c r="CZ49" s="113">
        <v>11064</v>
      </c>
      <c r="DA49" s="113">
        <v>520</v>
      </c>
      <c r="DB49" s="156">
        <f t="shared" si="52"/>
        <v>4.6999276934201015E-2</v>
      </c>
      <c r="DC49" s="156">
        <f t="shared" si="89"/>
        <v>1.5060677151214992E-2</v>
      </c>
      <c r="DD49" s="107">
        <v>14637</v>
      </c>
      <c r="DE49" s="107">
        <v>1058</v>
      </c>
      <c r="DF49" s="107">
        <v>5946</v>
      </c>
      <c r="DG49" s="107">
        <v>3339</v>
      </c>
      <c r="DH49" s="107">
        <v>4294</v>
      </c>
      <c r="DI49" s="149">
        <f t="shared" si="53"/>
        <v>7.2282571565211451E-2</v>
      </c>
      <c r="DJ49" s="149">
        <f t="shared" si="54"/>
        <v>0.40623078499692561</v>
      </c>
      <c r="DK49" s="149">
        <f t="shared" si="55"/>
        <v>0.521486643437863</v>
      </c>
      <c r="DL49" s="107">
        <v>17346</v>
      </c>
      <c r="DM49" s="107">
        <v>1219</v>
      </c>
      <c r="DN49" s="107">
        <v>7946</v>
      </c>
      <c r="DO49" s="107">
        <v>4721</v>
      </c>
      <c r="DP49" s="107">
        <v>3460</v>
      </c>
      <c r="DQ49" s="149">
        <f t="shared" si="56"/>
        <v>7.0275567854260354E-2</v>
      </c>
      <c r="DR49" s="149">
        <f t="shared" si="57"/>
        <v>0.45808832007379224</v>
      </c>
      <c r="DS49" s="149">
        <f t="shared" si="58"/>
        <v>0.47163611207194744</v>
      </c>
      <c r="DT49" s="107">
        <f t="shared" si="59"/>
        <v>31983</v>
      </c>
      <c r="DU49" s="107">
        <f t="shared" si="60"/>
        <v>2277</v>
      </c>
      <c r="DV49" s="107">
        <f t="shared" si="61"/>
        <v>13892</v>
      </c>
      <c r="DW49" s="107">
        <f t="shared" si="62"/>
        <v>8060</v>
      </c>
      <c r="DX49" s="107">
        <f t="shared" si="63"/>
        <v>7754</v>
      </c>
      <c r="DY49" s="108">
        <f t="shared" si="64"/>
        <v>7.119407185067067E-2</v>
      </c>
      <c r="DZ49" s="108">
        <f t="shared" si="65"/>
        <v>0.43435575149298067</v>
      </c>
      <c r="EA49" s="108">
        <f t="shared" si="66"/>
        <v>0.49445017665634866</v>
      </c>
      <c r="EB49" s="107">
        <v>20585</v>
      </c>
      <c r="EC49" s="110">
        <v>1654</v>
      </c>
      <c r="ED49" s="108">
        <f t="shared" si="67"/>
        <v>8.0349769249453487E-2</v>
      </c>
      <c r="EE49" s="107">
        <v>3445</v>
      </c>
      <c r="EF49" s="108">
        <f t="shared" si="67"/>
        <v>0.16735487005100802</v>
      </c>
      <c r="EG49" s="107">
        <v>6259</v>
      </c>
      <c r="EH49" s="108">
        <f t="shared" ref="EH49" si="391">EG49/$EB49</f>
        <v>0.30405635171241197</v>
      </c>
      <c r="EI49" s="107">
        <v>9171</v>
      </c>
      <c r="EJ49" s="108">
        <f t="shared" ref="EJ49" si="392">EI49/$EB49</f>
        <v>0.44551858149137724</v>
      </c>
      <c r="EK49" s="107">
        <v>13644</v>
      </c>
      <c r="EL49" s="108">
        <f t="shared" ref="EL49" si="393">EK49/$EB49</f>
        <v>0.66281272771435507</v>
      </c>
      <c r="EM49" s="107">
        <v>16190</v>
      </c>
      <c r="EN49" s="108">
        <f t="shared" ref="EN49" si="394">EM49/$EB49</f>
        <v>0.78649502064610155</v>
      </c>
      <c r="EO49" s="163">
        <v>85069</v>
      </c>
      <c r="EP49" s="163">
        <v>66002</v>
      </c>
      <c r="EQ49" s="163">
        <v>101049</v>
      </c>
      <c r="ER49" s="163">
        <v>103879</v>
      </c>
      <c r="ES49" s="163">
        <v>55393</v>
      </c>
      <c r="ET49" s="107">
        <v>14387</v>
      </c>
      <c r="EU49" s="107">
        <v>740</v>
      </c>
      <c r="EV49" s="108">
        <f t="shared" si="72"/>
        <v>5.1435323555988045E-2</v>
      </c>
      <c r="EW49" s="107">
        <v>16714</v>
      </c>
      <c r="EX49" s="107">
        <v>1512</v>
      </c>
      <c r="EY49" s="108">
        <f t="shared" si="73"/>
        <v>9.0463084839057073E-2</v>
      </c>
      <c r="EZ49" s="107">
        <f t="shared" si="74"/>
        <v>31101</v>
      </c>
      <c r="FA49" s="107">
        <f t="shared" si="75"/>
        <v>2252</v>
      </c>
      <c r="FB49" s="108">
        <f t="shared" si="76"/>
        <v>7.2409247291083889E-2</v>
      </c>
      <c r="FC49" s="107">
        <v>31101</v>
      </c>
      <c r="FD49" s="107">
        <v>2252</v>
      </c>
      <c r="FE49" s="108">
        <f t="shared" si="77"/>
        <v>7.2409247291083889E-2</v>
      </c>
      <c r="FF49" s="107">
        <v>4408</v>
      </c>
      <c r="FG49" s="108">
        <f t="shared" si="77"/>
        <v>0.14173177711327611</v>
      </c>
      <c r="FH49" s="107">
        <v>6208</v>
      </c>
      <c r="FI49" s="108">
        <f t="shared" ref="FI49" si="395">FH49/$FC49</f>
        <v>0.19960772965499501</v>
      </c>
      <c r="FJ49" s="107">
        <v>7523</v>
      </c>
      <c r="FK49" s="108">
        <f t="shared" ref="FK49" si="396">FJ49/$FC49</f>
        <v>0.24188932831741744</v>
      </c>
      <c r="FL49" s="107">
        <v>13526</v>
      </c>
      <c r="FM49" s="108">
        <f t="shared" ref="FM49" si="397">FL49/$FC49</f>
        <v>0.43490563004405003</v>
      </c>
      <c r="FN49" s="107">
        <v>2273</v>
      </c>
      <c r="FO49" s="108">
        <v>0.24320564947571152</v>
      </c>
      <c r="FP49" s="107">
        <v>89</v>
      </c>
      <c r="FQ49" s="108">
        <v>9.5227904986090305E-3</v>
      </c>
      <c r="FR49" s="107">
        <v>307</v>
      </c>
      <c r="FS49" s="108">
        <v>5.8023058023058023E-2</v>
      </c>
      <c r="FT49" s="110">
        <v>2</v>
      </c>
      <c r="FU49" s="108">
        <v>3.7800037800037799E-4</v>
      </c>
      <c r="FV49" s="107">
        <v>2134</v>
      </c>
      <c r="FW49" s="108">
        <v>0.21419251229549333</v>
      </c>
      <c r="FX49" s="107">
        <v>51</v>
      </c>
      <c r="FY49" s="108">
        <v>5.1189400782896714E-3</v>
      </c>
      <c r="FZ49" s="107">
        <v>477</v>
      </c>
      <c r="GA49" s="108">
        <v>6.4607882974400649E-2</v>
      </c>
      <c r="GB49" s="107">
        <v>0</v>
      </c>
      <c r="GC49" s="108">
        <v>0</v>
      </c>
      <c r="GD49" s="107">
        <v>5191</v>
      </c>
      <c r="GE49" s="117">
        <v>0.16230497451771253</v>
      </c>
      <c r="GF49" s="107">
        <v>142</v>
      </c>
      <c r="GG49" s="117">
        <v>4.4398586749210519E-3</v>
      </c>
      <c r="GH49" s="107">
        <v>20585</v>
      </c>
      <c r="GI49" s="107">
        <v>4665</v>
      </c>
      <c r="GJ49" s="108">
        <f t="shared" si="81"/>
        <v>0.22662132620840417</v>
      </c>
      <c r="GK49" s="107">
        <v>1332</v>
      </c>
      <c r="GL49" s="108">
        <f t="shared" si="82"/>
        <v>0.28553054662379423</v>
      </c>
      <c r="GM49" s="107">
        <v>2978</v>
      </c>
      <c r="GN49" s="108">
        <f t="shared" si="83"/>
        <v>0.63837084673097533</v>
      </c>
      <c r="GO49" s="107">
        <v>15920</v>
      </c>
      <c r="GP49" s="108">
        <f t="shared" si="84"/>
        <v>0.77337867379159586</v>
      </c>
      <c r="GQ49" s="107">
        <v>12601</v>
      </c>
      <c r="GR49" s="108">
        <f t="shared" si="85"/>
        <v>0.79152010050251254</v>
      </c>
      <c r="GS49" s="107">
        <v>3220</v>
      </c>
      <c r="GT49" s="108">
        <f t="shared" si="86"/>
        <v>0.2022613065326633</v>
      </c>
    </row>
    <row r="50" spans="1:202" x14ac:dyDescent="0.25">
      <c r="A50" s="104" t="s">
        <v>222</v>
      </c>
      <c r="B50" s="143">
        <v>92966</v>
      </c>
      <c r="C50" s="143">
        <v>27803</v>
      </c>
      <c r="D50" s="143">
        <v>20105</v>
      </c>
      <c r="E50" s="143">
        <v>8600</v>
      </c>
      <c r="F50" s="143">
        <v>2308</v>
      </c>
      <c r="G50" s="144">
        <f t="shared" si="2"/>
        <v>0.29906632532323646</v>
      </c>
      <c r="H50" s="144">
        <f t="shared" si="3"/>
        <v>0.21626185917432181</v>
      </c>
      <c r="I50" s="144">
        <f t="shared" si="4"/>
        <v>9.2506938020351523E-2</v>
      </c>
      <c r="J50" s="144">
        <f t="shared" si="5"/>
        <v>2.4826280575694339E-2</v>
      </c>
      <c r="K50" s="143">
        <v>9178</v>
      </c>
      <c r="L50" s="145">
        <f t="shared" si="6"/>
        <v>0.45650335737378761</v>
      </c>
      <c r="M50" s="143">
        <v>10927</v>
      </c>
      <c r="N50" s="145">
        <f t="shared" si="7"/>
        <v>0.54349664262621233</v>
      </c>
      <c r="O50" s="148">
        <v>43.9</v>
      </c>
      <c r="P50" s="107">
        <v>38309</v>
      </c>
      <c r="Q50" s="107">
        <v>18645</v>
      </c>
      <c r="R50" s="108">
        <f t="shared" si="8"/>
        <v>0.4867002532042079</v>
      </c>
      <c r="S50" s="107">
        <v>14302</v>
      </c>
      <c r="T50" s="149">
        <f t="shared" si="9"/>
        <v>0.37333263723929105</v>
      </c>
      <c r="U50" s="143">
        <v>9178</v>
      </c>
      <c r="V50" s="107">
        <v>459</v>
      </c>
      <c r="W50" s="108">
        <f t="shared" si="10"/>
        <v>5.0010895619960777E-2</v>
      </c>
      <c r="X50" s="107">
        <v>6988</v>
      </c>
      <c r="Y50" s="150">
        <f t="shared" si="11"/>
        <v>0.76138592285901063</v>
      </c>
      <c r="Z50" s="107">
        <v>218</v>
      </c>
      <c r="AA50" s="108">
        <f t="shared" si="12"/>
        <v>2.3752451514491176E-2</v>
      </c>
      <c r="AB50" s="107">
        <v>656</v>
      </c>
      <c r="AC50" s="108">
        <f t="shared" si="13"/>
        <v>7.1475266942689034E-2</v>
      </c>
      <c r="AD50" s="107">
        <v>857</v>
      </c>
      <c r="AE50" s="108">
        <f t="shared" si="14"/>
        <v>9.3375463063848335E-2</v>
      </c>
      <c r="AF50" s="107">
        <v>10927</v>
      </c>
      <c r="AG50" s="107">
        <v>530</v>
      </c>
      <c r="AH50" s="108">
        <f t="shared" si="15"/>
        <v>4.8503706415301544E-2</v>
      </c>
      <c r="AI50" s="107">
        <v>5148</v>
      </c>
      <c r="AJ50" s="108">
        <f t="shared" si="16"/>
        <v>0.47112656721881579</v>
      </c>
      <c r="AK50" s="107">
        <v>247</v>
      </c>
      <c r="AL50" s="108">
        <f t="shared" si="17"/>
        <v>2.2604557518074494E-2</v>
      </c>
      <c r="AM50" s="107">
        <v>3049</v>
      </c>
      <c r="AN50" s="108">
        <f t="shared" si="18"/>
        <v>0.27903358652878191</v>
      </c>
      <c r="AO50" s="107">
        <v>1953</v>
      </c>
      <c r="AP50" s="108">
        <f t="shared" si="19"/>
        <v>0.17873158231902628</v>
      </c>
      <c r="AQ50" s="107">
        <f t="shared" si="20"/>
        <v>20105</v>
      </c>
      <c r="AR50" s="107">
        <f t="shared" si="21"/>
        <v>989</v>
      </c>
      <c r="AS50" s="108">
        <f t="shared" si="22"/>
        <v>4.9191743347426015E-2</v>
      </c>
      <c r="AT50" s="107">
        <f t="shared" si="23"/>
        <v>12136</v>
      </c>
      <c r="AU50" s="108">
        <f t="shared" si="24"/>
        <v>0.60363093757771702</v>
      </c>
      <c r="AV50" s="107">
        <f t="shared" si="25"/>
        <v>465</v>
      </c>
      <c r="AW50" s="108">
        <f t="shared" si="26"/>
        <v>2.3128574981347922E-2</v>
      </c>
      <c r="AX50" s="107">
        <f t="shared" si="27"/>
        <v>3705</v>
      </c>
      <c r="AY50" s="108">
        <f t="shared" si="28"/>
        <v>0.18428251678686894</v>
      </c>
      <c r="AZ50" s="107">
        <f t="shared" si="29"/>
        <v>2810</v>
      </c>
      <c r="BA50" s="108">
        <f t="shared" si="30"/>
        <v>0.13976622730664015</v>
      </c>
      <c r="BB50" s="111">
        <v>9046</v>
      </c>
      <c r="BC50" s="111">
        <v>2144</v>
      </c>
      <c r="BD50" s="152">
        <f t="shared" si="31"/>
        <v>0.23701083351757682</v>
      </c>
      <c r="BE50" s="111">
        <v>10773</v>
      </c>
      <c r="BF50" s="111">
        <v>2817</v>
      </c>
      <c r="BG50" s="152">
        <f t="shared" si="0"/>
        <v>0.26148705096073516</v>
      </c>
      <c r="BH50" s="153">
        <f t="shared" si="32"/>
        <v>19819</v>
      </c>
      <c r="BI50" s="153">
        <f t="shared" si="33"/>
        <v>4961</v>
      </c>
      <c r="BJ50" s="154">
        <f t="shared" si="34"/>
        <v>0.25031535395327714</v>
      </c>
      <c r="BK50" s="107">
        <v>20105</v>
      </c>
      <c r="BL50" s="107">
        <v>5790</v>
      </c>
      <c r="BM50" s="108">
        <f t="shared" si="87"/>
        <v>0.28798806267097737</v>
      </c>
      <c r="BN50" s="107">
        <v>9178</v>
      </c>
      <c r="BO50" s="107">
        <v>1375</v>
      </c>
      <c r="BP50" s="108">
        <f t="shared" si="35"/>
        <v>0.14981477446066682</v>
      </c>
      <c r="BQ50" s="107">
        <v>10927</v>
      </c>
      <c r="BR50" s="107">
        <v>4415</v>
      </c>
      <c r="BS50" s="108">
        <f t="shared" si="36"/>
        <v>0.40404502608218174</v>
      </c>
      <c r="BT50" s="113">
        <v>93956</v>
      </c>
      <c r="BU50" s="113">
        <v>21509</v>
      </c>
      <c r="BV50" s="156">
        <f t="shared" si="37"/>
        <v>0.22892630593043553</v>
      </c>
      <c r="BW50" s="156">
        <f t="shared" si="38"/>
        <v>1</v>
      </c>
      <c r="BX50" s="113">
        <v>83968</v>
      </c>
      <c r="BY50" s="113">
        <v>20612</v>
      </c>
      <c r="BZ50" s="156">
        <f t="shared" si="39"/>
        <v>0.24547446646341464</v>
      </c>
      <c r="CA50" s="156">
        <f t="shared" si="40"/>
        <v>0.95829652703519452</v>
      </c>
      <c r="CB50" s="113">
        <v>1846</v>
      </c>
      <c r="CC50" s="113">
        <v>269</v>
      </c>
      <c r="CD50" s="156">
        <f t="shared" si="41"/>
        <v>0.14572047670639221</v>
      </c>
      <c r="CE50" s="156">
        <f t="shared" si="88"/>
        <v>1.2506392672834628E-2</v>
      </c>
      <c r="CF50" s="113">
        <v>223</v>
      </c>
      <c r="CG50" s="113">
        <v>44</v>
      </c>
      <c r="CH50" s="156">
        <f t="shared" si="42"/>
        <v>0.19730941704035873</v>
      </c>
      <c r="CI50" s="156">
        <f t="shared" si="43"/>
        <v>2.045655307080757E-3</v>
      </c>
      <c r="CJ50" s="113">
        <v>2678</v>
      </c>
      <c r="CK50" s="113">
        <v>231</v>
      </c>
      <c r="CL50" s="161">
        <f t="shared" si="44"/>
        <v>8.625840179238238E-2</v>
      </c>
      <c r="CM50" s="156">
        <f t="shared" si="45"/>
        <v>1.0739690362173974E-2</v>
      </c>
      <c r="CN50" s="113">
        <v>31</v>
      </c>
      <c r="CO50" s="113">
        <v>8</v>
      </c>
      <c r="CP50" s="161">
        <f t="shared" si="46"/>
        <v>0.25806451612903225</v>
      </c>
      <c r="CQ50" s="156">
        <f t="shared" si="47"/>
        <v>3.7193732856013762E-4</v>
      </c>
      <c r="CR50" s="105">
        <v>315</v>
      </c>
      <c r="CS50" s="105">
        <v>22</v>
      </c>
      <c r="CT50" s="106">
        <f t="shared" si="48"/>
        <v>6.9841269841269843E-2</v>
      </c>
      <c r="CU50" s="106">
        <f t="shared" si="49"/>
        <v>1.0228276535403785E-3</v>
      </c>
      <c r="CV50" s="113">
        <v>1421</v>
      </c>
      <c r="CW50" s="113">
        <v>62</v>
      </c>
      <c r="CX50" s="156">
        <f t="shared" si="50"/>
        <v>4.3631245601688955E-2</v>
      </c>
      <c r="CY50" s="156">
        <f t="shared" si="51"/>
        <v>2.8825142963410664E-3</v>
      </c>
      <c r="CZ50" s="113">
        <v>3789</v>
      </c>
      <c r="DA50" s="113">
        <v>283</v>
      </c>
      <c r="DB50" s="156">
        <f t="shared" si="52"/>
        <v>7.4689891792029561E-2</v>
      </c>
      <c r="DC50" s="156">
        <f t="shared" si="89"/>
        <v>1.3157282997814868E-2</v>
      </c>
      <c r="DD50" s="107">
        <v>9178</v>
      </c>
      <c r="DE50" s="107">
        <v>246</v>
      </c>
      <c r="DF50" s="107">
        <v>2000</v>
      </c>
      <c r="DG50" s="107">
        <v>2309</v>
      </c>
      <c r="DH50" s="107">
        <v>4623</v>
      </c>
      <c r="DI50" s="149">
        <f t="shared" si="53"/>
        <v>2.6803225103508389E-2</v>
      </c>
      <c r="DJ50" s="149">
        <f t="shared" si="54"/>
        <v>0.21791239921551536</v>
      </c>
      <c r="DK50" s="149">
        <f t="shared" si="55"/>
        <v>0.75528437568097628</v>
      </c>
      <c r="DL50" s="107">
        <v>10927</v>
      </c>
      <c r="DM50" s="107">
        <v>345</v>
      </c>
      <c r="DN50" s="107">
        <v>3549</v>
      </c>
      <c r="DO50" s="107">
        <v>2948</v>
      </c>
      <c r="DP50" s="107">
        <v>4085</v>
      </c>
      <c r="DQ50" s="149">
        <f t="shared" si="56"/>
        <v>3.1573167383545347E-2</v>
      </c>
      <c r="DR50" s="149">
        <f t="shared" si="57"/>
        <v>0.32479180012812298</v>
      </c>
      <c r="DS50" s="149">
        <f t="shared" si="58"/>
        <v>0.64363503248833165</v>
      </c>
      <c r="DT50" s="107">
        <f t="shared" si="59"/>
        <v>20105</v>
      </c>
      <c r="DU50" s="107">
        <f t="shared" si="60"/>
        <v>591</v>
      </c>
      <c r="DV50" s="107">
        <f t="shared" si="61"/>
        <v>5549</v>
      </c>
      <c r="DW50" s="107">
        <f t="shared" si="62"/>
        <v>5257</v>
      </c>
      <c r="DX50" s="107">
        <f t="shared" si="63"/>
        <v>8708</v>
      </c>
      <c r="DY50" s="108">
        <f t="shared" si="64"/>
        <v>2.9395672718229297E-2</v>
      </c>
      <c r="DZ50" s="108">
        <f t="shared" si="65"/>
        <v>0.27600099477741857</v>
      </c>
      <c r="EA50" s="108">
        <f t="shared" si="66"/>
        <v>0.69460333250435213</v>
      </c>
      <c r="EB50" s="107">
        <v>12967</v>
      </c>
      <c r="EC50" s="110">
        <v>953</v>
      </c>
      <c r="ED50" s="108">
        <f t="shared" si="67"/>
        <v>7.3494254646410115E-2</v>
      </c>
      <c r="EE50" s="107">
        <v>1962</v>
      </c>
      <c r="EF50" s="108">
        <f t="shared" si="67"/>
        <v>0.15130716434024832</v>
      </c>
      <c r="EG50" s="107">
        <v>3279</v>
      </c>
      <c r="EH50" s="108">
        <f t="shared" ref="EH50" si="398">EG50/$EB50</f>
        <v>0.25287267679494102</v>
      </c>
      <c r="EI50" s="107">
        <v>4894</v>
      </c>
      <c r="EJ50" s="108">
        <f t="shared" ref="EJ50" si="399">EI50/$EB50</f>
        <v>0.37741960360916171</v>
      </c>
      <c r="EK50" s="107">
        <v>7508</v>
      </c>
      <c r="EL50" s="108">
        <f t="shared" ref="EL50" si="400">EK50/$EB50</f>
        <v>0.57900825171589421</v>
      </c>
      <c r="EM50" s="107">
        <v>9107</v>
      </c>
      <c r="EN50" s="108">
        <f t="shared" ref="EN50" si="401">EM50/$EB50</f>
        <v>0.70232127708799263</v>
      </c>
      <c r="EO50" s="163">
        <v>96996</v>
      </c>
      <c r="EP50" s="163">
        <v>59205</v>
      </c>
      <c r="EQ50" s="163">
        <v>114726</v>
      </c>
      <c r="ER50" s="163">
        <v>134314</v>
      </c>
      <c r="ES50" s="163">
        <v>62860</v>
      </c>
      <c r="ET50" s="107">
        <v>9046</v>
      </c>
      <c r="EU50" s="107">
        <v>636</v>
      </c>
      <c r="EV50" s="108">
        <f t="shared" si="72"/>
        <v>7.030731815166924E-2</v>
      </c>
      <c r="EW50" s="107">
        <v>10773</v>
      </c>
      <c r="EX50" s="107">
        <v>870</v>
      </c>
      <c r="EY50" s="108">
        <f t="shared" si="73"/>
        <v>8.0757449178501806E-2</v>
      </c>
      <c r="EZ50" s="107">
        <f t="shared" si="74"/>
        <v>19819</v>
      </c>
      <c r="FA50" s="107">
        <f t="shared" si="75"/>
        <v>1506</v>
      </c>
      <c r="FB50" s="108">
        <f t="shared" si="76"/>
        <v>7.5987688581664062E-2</v>
      </c>
      <c r="FC50" s="107">
        <v>19819</v>
      </c>
      <c r="FD50" s="107">
        <v>1506</v>
      </c>
      <c r="FE50" s="108">
        <f t="shared" si="77"/>
        <v>7.5987688581664062E-2</v>
      </c>
      <c r="FF50" s="107">
        <v>2416</v>
      </c>
      <c r="FG50" s="108">
        <f t="shared" si="77"/>
        <v>0.12190322417881831</v>
      </c>
      <c r="FH50" s="107">
        <v>3153</v>
      </c>
      <c r="FI50" s="108">
        <f t="shared" ref="FI50" si="402">FH50/$FC50</f>
        <v>0.15908976234926081</v>
      </c>
      <c r="FJ50" s="107">
        <v>3762</v>
      </c>
      <c r="FK50" s="108">
        <f t="shared" ref="FK50" si="403">FJ50/$FC50</f>
        <v>0.18981785155658712</v>
      </c>
      <c r="FL50" s="107">
        <v>6818</v>
      </c>
      <c r="FM50" s="108">
        <f t="shared" ref="FM50" si="404">FL50/$FC50</f>
        <v>0.34401332055098643</v>
      </c>
      <c r="FN50" s="107">
        <v>2099</v>
      </c>
      <c r="FO50" s="108">
        <v>0.38108206245461146</v>
      </c>
      <c r="FP50" s="107">
        <v>15</v>
      </c>
      <c r="FQ50" s="108">
        <v>2.7233115468409588E-3</v>
      </c>
      <c r="FR50" s="107">
        <v>501</v>
      </c>
      <c r="FS50" s="108">
        <v>0.13651226158038146</v>
      </c>
      <c r="FT50" s="110">
        <v>0</v>
      </c>
      <c r="FU50" s="108">
        <v>0</v>
      </c>
      <c r="FV50" s="107">
        <v>1352</v>
      </c>
      <c r="FW50" s="108">
        <v>0.2254460563615141</v>
      </c>
      <c r="FX50" s="107">
        <v>45</v>
      </c>
      <c r="FY50" s="108">
        <v>7.5037518759379692E-3</v>
      </c>
      <c r="FZ50" s="107">
        <v>288</v>
      </c>
      <c r="GA50" s="108">
        <v>5.8417849898580121E-2</v>
      </c>
      <c r="GB50" s="107">
        <v>17</v>
      </c>
      <c r="GC50" s="108">
        <v>3.4482758620689655E-3</v>
      </c>
      <c r="GD50" s="107">
        <v>4240</v>
      </c>
      <c r="GE50" s="117">
        <v>0.21089281273315097</v>
      </c>
      <c r="GF50" s="107">
        <v>77</v>
      </c>
      <c r="GG50" s="117">
        <v>3.8298930614275055E-3</v>
      </c>
      <c r="GH50" s="107">
        <v>12967</v>
      </c>
      <c r="GI50" s="107">
        <v>2939</v>
      </c>
      <c r="GJ50" s="108">
        <f t="shared" si="81"/>
        <v>0.22665227114984191</v>
      </c>
      <c r="GK50" s="107">
        <v>931</v>
      </c>
      <c r="GL50" s="108">
        <f t="shared" si="82"/>
        <v>0.31677441306566861</v>
      </c>
      <c r="GM50" s="107">
        <v>1809</v>
      </c>
      <c r="GN50" s="108">
        <f t="shared" si="83"/>
        <v>0.61551548145627766</v>
      </c>
      <c r="GO50" s="107">
        <v>10028</v>
      </c>
      <c r="GP50" s="108">
        <f t="shared" si="84"/>
        <v>0.77334772885015812</v>
      </c>
      <c r="GQ50" s="107">
        <v>7263</v>
      </c>
      <c r="GR50" s="108">
        <f t="shared" si="85"/>
        <v>0.7242720382927802</v>
      </c>
      <c r="GS50" s="107">
        <v>2578</v>
      </c>
      <c r="GT50" s="108">
        <f t="shared" si="86"/>
        <v>0.25708017550857598</v>
      </c>
    </row>
    <row r="51" spans="1:202" x14ac:dyDescent="0.25">
      <c r="A51" s="104" t="s">
        <v>223</v>
      </c>
      <c r="B51" s="143">
        <v>7431</v>
      </c>
      <c r="C51" s="143">
        <v>2417</v>
      </c>
      <c r="D51" s="143">
        <v>1822</v>
      </c>
      <c r="E51" s="143">
        <v>707</v>
      </c>
      <c r="F51" s="143">
        <v>148</v>
      </c>
      <c r="G51" s="144">
        <f t="shared" si="2"/>
        <v>0.32525904992598575</v>
      </c>
      <c r="H51" s="144">
        <f t="shared" si="3"/>
        <v>0.24518907280312205</v>
      </c>
      <c r="I51" s="144">
        <f t="shared" si="4"/>
        <v>9.5141972816579198E-2</v>
      </c>
      <c r="J51" s="144">
        <f t="shared" si="5"/>
        <v>1.9916565738124076E-2</v>
      </c>
      <c r="K51" s="143">
        <v>912</v>
      </c>
      <c r="L51" s="145">
        <f t="shared" si="6"/>
        <v>0.50054884742041716</v>
      </c>
      <c r="M51" s="143">
        <v>910</v>
      </c>
      <c r="N51" s="145">
        <f t="shared" si="7"/>
        <v>0.49945115257958289</v>
      </c>
      <c r="O51" s="148">
        <v>46</v>
      </c>
      <c r="P51" s="107">
        <v>3046</v>
      </c>
      <c r="Q51" s="107">
        <v>1544</v>
      </c>
      <c r="R51" s="108">
        <f t="shared" si="8"/>
        <v>0.50689428759028232</v>
      </c>
      <c r="S51" s="107">
        <v>1173</v>
      </c>
      <c r="T51" s="149">
        <f t="shared" si="9"/>
        <v>0.38509520682862769</v>
      </c>
      <c r="U51" s="143">
        <v>912</v>
      </c>
      <c r="V51" s="107">
        <v>64</v>
      </c>
      <c r="W51" s="108">
        <f t="shared" si="10"/>
        <v>7.0175438596491224E-2</v>
      </c>
      <c r="X51" s="107">
        <v>679</v>
      </c>
      <c r="Y51" s="150">
        <f t="shared" si="11"/>
        <v>0.74451754385964908</v>
      </c>
      <c r="Z51" s="107">
        <v>20</v>
      </c>
      <c r="AA51" s="108">
        <f t="shared" si="12"/>
        <v>2.1929824561403508E-2</v>
      </c>
      <c r="AB51" s="107">
        <v>45</v>
      </c>
      <c r="AC51" s="108">
        <f t="shared" si="13"/>
        <v>4.9342105263157895E-2</v>
      </c>
      <c r="AD51" s="107">
        <v>104</v>
      </c>
      <c r="AE51" s="108">
        <f t="shared" si="14"/>
        <v>0.11403508771929824</v>
      </c>
      <c r="AF51" s="107">
        <v>910</v>
      </c>
      <c r="AG51" s="107">
        <v>29</v>
      </c>
      <c r="AH51" s="108">
        <f t="shared" si="15"/>
        <v>3.1868131868131866E-2</v>
      </c>
      <c r="AI51" s="107">
        <v>508</v>
      </c>
      <c r="AJ51" s="108">
        <f t="shared" si="16"/>
        <v>0.55824175824175826</v>
      </c>
      <c r="AK51" s="107">
        <v>61</v>
      </c>
      <c r="AL51" s="108">
        <f t="shared" si="17"/>
        <v>6.7032967032967031E-2</v>
      </c>
      <c r="AM51" s="107">
        <v>230</v>
      </c>
      <c r="AN51" s="108">
        <f t="shared" si="18"/>
        <v>0.25274725274725274</v>
      </c>
      <c r="AO51" s="107">
        <v>82</v>
      </c>
      <c r="AP51" s="108">
        <f t="shared" si="19"/>
        <v>9.0109890109890109E-2</v>
      </c>
      <c r="AQ51" s="107">
        <f t="shared" si="20"/>
        <v>1822</v>
      </c>
      <c r="AR51" s="107">
        <f t="shared" si="21"/>
        <v>93</v>
      </c>
      <c r="AS51" s="108">
        <f t="shared" si="22"/>
        <v>5.1042810098792538E-2</v>
      </c>
      <c r="AT51" s="107">
        <f t="shared" si="23"/>
        <v>1187</v>
      </c>
      <c r="AU51" s="108">
        <f t="shared" si="24"/>
        <v>0.65148188803512619</v>
      </c>
      <c r="AV51" s="107">
        <f t="shared" si="25"/>
        <v>81</v>
      </c>
      <c r="AW51" s="108">
        <f t="shared" si="26"/>
        <v>4.4456641053787049E-2</v>
      </c>
      <c r="AX51" s="107">
        <f t="shared" si="27"/>
        <v>275</v>
      </c>
      <c r="AY51" s="108">
        <f t="shared" si="28"/>
        <v>0.15093304061470911</v>
      </c>
      <c r="AZ51" s="107">
        <f t="shared" si="29"/>
        <v>186</v>
      </c>
      <c r="BA51" s="108">
        <f t="shared" si="30"/>
        <v>0.10208562019758508</v>
      </c>
      <c r="BB51" s="111">
        <v>897</v>
      </c>
      <c r="BC51" s="111">
        <v>244</v>
      </c>
      <c r="BD51" s="152">
        <f t="shared" si="31"/>
        <v>0.27201783723522854</v>
      </c>
      <c r="BE51" s="111">
        <v>876</v>
      </c>
      <c r="BF51" s="111">
        <v>237</v>
      </c>
      <c r="BG51" s="152">
        <f t="shared" si="0"/>
        <v>0.27054794520547948</v>
      </c>
      <c r="BH51" s="153">
        <f t="shared" si="32"/>
        <v>1773</v>
      </c>
      <c r="BI51" s="153">
        <f t="shared" si="33"/>
        <v>481</v>
      </c>
      <c r="BJ51" s="154">
        <f t="shared" si="34"/>
        <v>0.27129159616469262</v>
      </c>
      <c r="BK51" s="107">
        <v>1822</v>
      </c>
      <c r="BL51" s="107">
        <v>422</v>
      </c>
      <c r="BM51" s="108">
        <f t="shared" si="87"/>
        <v>0.23161361141602635</v>
      </c>
      <c r="BN51" s="107">
        <v>912</v>
      </c>
      <c r="BO51" s="107">
        <v>160</v>
      </c>
      <c r="BP51" s="108">
        <f t="shared" si="35"/>
        <v>0.17543859649122806</v>
      </c>
      <c r="BQ51" s="107">
        <v>910</v>
      </c>
      <c r="BR51" s="107">
        <v>262</v>
      </c>
      <c r="BS51" s="108">
        <f t="shared" si="36"/>
        <v>0.28791208791208789</v>
      </c>
      <c r="BT51" s="113">
        <v>7555</v>
      </c>
      <c r="BU51" s="113">
        <v>1940</v>
      </c>
      <c r="BV51" s="156">
        <f t="shared" si="37"/>
        <v>0.25678358702845799</v>
      </c>
      <c r="BW51" s="156">
        <f t="shared" si="38"/>
        <v>1</v>
      </c>
      <c r="BX51" s="113">
        <v>7161</v>
      </c>
      <c r="BY51" s="113">
        <v>1906</v>
      </c>
      <c r="BZ51" s="156">
        <f t="shared" si="39"/>
        <v>0.26616394358329842</v>
      </c>
      <c r="CA51" s="156">
        <f t="shared" si="40"/>
        <v>0.98247422680412366</v>
      </c>
      <c r="CB51" s="113">
        <v>32</v>
      </c>
      <c r="CC51" s="113">
        <v>2</v>
      </c>
      <c r="CD51" s="156">
        <f t="shared" si="41"/>
        <v>6.25E-2</v>
      </c>
      <c r="CE51" s="156">
        <f t="shared" si="88"/>
        <v>1.0309278350515464E-3</v>
      </c>
      <c r="CF51" s="113">
        <v>24</v>
      </c>
      <c r="CG51" s="113">
        <v>7</v>
      </c>
      <c r="CH51" s="156">
        <f t="shared" si="42"/>
        <v>0.29166666666666669</v>
      </c>
      <c r="CI51" s="156">
        <f t="shared" si="43"/>
        <v>3.6082474226804126E-3</v>
      </c>
      <c r="CJ51" s="113">
        <v>50</v>
      </c>
      <c r="CK51" s="113">
        <v>5</v>
      </c>
      <c r="CL51" s="161">
        <f t="shared" si="44"/>
        <v>0.1</v>
      </c>
      <c r="CM51" s="156">
        <f t="shared" si="45"/>
        <v>2.5773195876288659E-3</v>
      </c>
      <c r="CN51" s="113">
        <v>3</v>
      </c>
      <c r="CO51" s="113">
        <v>0</v>
      </c>
      <c r="CP51" s="161">
        <f t="shared" si="46"/>
        <v>0</v>
      </c>
      <c r="CQ51" s="156">
        <f t="shared" si="47"/>
        <v>0</v>
      </c>
      <c r="CR51" s="105">
        <v>30</v>
      </c>
      <c r="CS51" s="105">
        <v>0</v>
      </c>
      <c r="CT51" s="106">
        <f t="shared" si="48"/>
        <v>0</v>
      </c>
      <c r="CU51" s="106">
        <f t="shared" si="49"/>
        <v>0</v>
      </c>
      <c r="CV51" s="113">
        <v>62</v>
      </c>
      <c r="CW51" s="113">
        <v>10</v>
      </c>
      <c r="CX51" s="156">
        <f t="shared" si="50"/>
        <v>0.16129032258064516</v>
      </c>
      <c r="CY51" s="156">
        <f t="shared" si="51"/>
        <v>5.1546391752577319E-3</v>
      </c>
      <c r="CZ51" s="113">
        <v>223</v>
      </c>
      <c r="DA51" s="113">
        <v>10</v>
      </c>
      <c r="DB51" s="156">
        <f t="shared" si="52"/>
        <v>4.4843049327354258E-2</v>
      </c>
      <c r="DC51" s="156">
        <f t="shared" si="89"/>
        <v>5.1546391752577319E-3</v>
      </c>
      <c r="DD51" s="107">
        <v>912</v>
      </c>
      <c r="DE51" s="107">
        <v>54</v>
      </c>
      <c r="DF51" s="107">
        <v>378</v>
      </c>
      <c r="DG51" s="107">
        <v>268</v>
      </c>
      <c r="DH51" s="107">
        <v>212</v>
      </c>
      <c r="DI51" s="149">
        <f t="shared" si="53"/>
        <v>5.921052631578947E-2</v>
      </c>
      <c r="DJ51" s="149">
        <f t="shared" si="54"/>
        <v>0.41447368421052633</v>
      </c>
      <c r="DK51" s="149">
        <f t="shared" si="55"/>
        <v>0.52631578947368418</v>
      </c>
      <c r="DL51" s="107">
        <v>910</v>
      </c>
      <c r="DM51" s="107">
        <v>34</v>
      </c>
      <c r="DN51" s="107">
        <v>393</v>
      </c>
      <c r="DO51" s="107">
        <v>230</v>
      </c>
      <c r="DP51" s="107">
        <v>253</v>
      </c>
      <c r="DQ51" s="149">
        <f t="shared" si="56"/>
        <v>3.7362637362637362E-2</v>
      </c>
      <c r="DR51" s="149">
        <f t="shared" si="57"/>
        <v>0.43186813186813189</v>
      </c>
      <c r="DS51" s="149">
        <f t="shared" si="58"/>
        <v>0.53076923076923077</v>
      </c>
      <c r="DT51" s="107">
        <f t="shared" si="59"/>
        <v>1822</v>
      </c>
      <c r="DU51" s="107">
        <f t="shared" si="60"/>
        <v>88</v>
      </c>
      <c r="DV51" s="107">
        <f t="shared" si="61"/>
        <v>771</v>
      </c>
      <c r="DW51" s="107">
        <f t="shared" si="62"/>
        <v>498</v>
      </c>
      <c r="DX51" s="107">
        <f t="shared" si="63"/>
        <v>465</v>
      </c>
      <c r="DY51" s="108">
        <f t="shared" si="64"/>
        <v>4.8298572996706916E-2</v>
      </c>
      <c r="DZ51" s="108">
        <f t="shared" si="65"/>
        <v>0.42316136114160263</v>
      </c>
      <c r="EA51" s="108">
        <f t="shared" si="66"/>
        <v>0.52854006586169044</v>
      </c>
      <c r="EB51" s="107">
        <v>1079</v>
      </c>
      <c r="EC51" s="110">
        <v>54</v>
      </c>
      <c r="ED51" s="108">
        <f t="shared" si="67"/>
        <v>5.0046339202965709E-2</v>
      </c>
      <c r="EE51" s="107">
        <v>162</v>
      </c>
      <c r="EF51" s="108">
        <f t="shared" si="67"/>
        <v>0.15013901760889714</v>
      </c>
      <c r="EG51" s="107">
        <v>296</v>
      </c>
      <c r="EH51" s="108">
        <f t="shared" ref="EH51" si="405">EG51/$EB51</f>
        <v>0.27432808155699723</v>
      </c>
      <c r="EI51" s="107">
        <v>462</v>
      </c>
      <c r="EJ51" s="108">
        <f t="shared" ref="EJ51" si="406">EI51/$EB51</f>
        <v>0.42817423540315108</v>
      </c>
      <c r="EK51" s="107">
        <v>722</v>
      </c>
      <c r="EL51" s="108">
        <f t="shared" ref="EL51" si="407">EK51/$EB51</f>
        <v>0.66913809082483777</v>
      </c>
      <c r="EM51" s="107">
        <v>875</v>
      </c>
      <c r="EN51" s="108">
        <f t="shared" ref="EN51" si="408">EM51/$EB51</f>
        <v>0.81093605189990736</v>
      </c>
      <c r="EO51" s="163">
        <v>75256</v>
      </c>
      <c r="EP51" s="163">
        <v>45625</v>
      </c>
      <c r="EQ51" s="163">
        <v>87667</v>
      </c>
      <c r="ER51" s="163">
        <v>90217</v>
      </c>
      <c r="ES51" s="163">
        <v>56573</v>
      </c>
      <c r="ET51" s="107">
        <v>897</v>
      </c>
      <c r="EU51" s="107">
        <v>41</v>
      </c>
      <c r="EV51" s="108">
        <f t="shared" si="72"/>
        <v>4.5707915273132664E-2</v>
      </c>
      <c r="EW51" s="107">
        <v>876</v>
      </c>
      <c r="EX51" s="107">
        <v>72</v>
      </c>
      <c r="EY51" s="108">
        <f t="shared" si="73"/>
        <v>8.2191780821917804E-2</v>
      </c>
      <c r="EZ51" s="107">
        <f t="shared" si="74"/>
        <v>1773</v>
      </c>
      <c r="FA51" s="107">
        <f t="shared" si="75"/>
        <v>113</v>
      </c>
      <c r="FB51" s="108">
        <f t="shared" si="76"/>
        <v>6.3733784545967287E-2</v>
      </c>
      <c r="FC51" s="107">
        <v>1773</v>
      </c>
      <c r="FD51" s="107">
        <v>113</v>
      </c>
      <c r="FE51" s="108">
        <f t="shared" si="77"/>
        <v>6.3733784545967287E-2</v>
      </c>
      <c r="FF51" s="107">
        <v>251</v>
      </c>
      <c r="FG51" s="108">
        <f t="shared" si="77"/>
        <v>0.14156796390298929</v>
      </c>
      <c r="FH51" s="107">
        <v>359</v>
      </c>
      <c r="FI51" s="108">
        <f t="shared" ref="FI51" si="409">FH51/$FC51</f>
        <v>0.20248166948674562</v>
      </c>
      <c r="FJ51" s="107">
        <v>428</v>
      </c>
      <c r="FK51" s="108">
        <f t="shared" ref="FK51" si="410">FJ51/$FC51</f>
        <v>0.24139875916525663</v>
      </c>
      <c r="FL51" s="107">
        <v>820</v>
      </c>
      <c r="FM51" s="108">
        <f t="shared" ref="FM51" si="411">FL51/$FC51</f>
        <v>0.46249294980259448</v>
      </c>
      <c r="FN51" s="107">
        <v>168</v>
      </c>
      <c r="FO51" s="108">
        <v>0.29525483304042177</v>
      </c>
      <c r="FP51" s="107">
        <v>13</v>
      </c>
      <c r="FQ51" s="108">
        <v>2.2847100175746926E-2</v>
      </c>
      <c r="FR51" s="107">
        <v>39</v>
      </c>
      <c r="FS51" s="108">
        <v>0.11370262390670553</v>
      </c>
      <c r="FT51" s="110">
        <v>0</v>
      </c>
      <c r="FU51" s="108">
        <v>0</v>
      </c>
      <c r="FV51" s="107">
        <v>126</v>
      </c>
      <c r="FW51" s="108">
        <v>0.23076923076923078</v>
      </c>
      <c r="FX51" s="107">
        <v>3</v>
      </c>
      <c r="FY51" s="108">
        <v>5.4945054945054949E-3</v>
      </c>
      <c r="FZ51" s="107">
        <v>7</v>
      </c>
      <c r="GA51" s="108">
        <v>1.9230769230769232E-2</v>
      </c>
      <c r="GB51" s="107">
        <v>0</v>
      </c>
      <c r="GC51" s="108">
        <v>0</v>
      </c>
      <c r="GD51" s="107">
        <v>340</v>
      </c>
      <c r="GE51" s="117">
        <v>0.18660812294182216</v>
      </c>
      <c r="GF51" s="107">
        <v>16</v>
      </c>
      <c r="GG51" s="117">
        <v>8.7815587266739849E-3</v>
      </c>
      <c r="GH51" s="107">
        <v>1079</v>
      </c>
      <c r="GI51" s="107">
        <v>115</v>
      </c>
      <c r="GJ51" s="108">
        <f t="shared" si="81"/>
        <v>0.10658016682113068</v>
      </c>
      <c r="GK51" s="107">
        <v>25</v>
      </c>
      <c r="GL51" s="108">
        <f t="shared" si="82"/>
        <v>0.21739130434782608</v>
      </c>
      <c r="GM51" s="107">
        <v>48</v>
      </c>
      <c r="GN51" s="108">
        <f t="shared" si="83"/>
        <v>0.41739130434782606</v>
      </c>
      <c r="GO51" s="107">
        <v>964</v>
      </c>
      <c r="GP51" s="108">
        <f t="shared" si="84"/>
        <v>0.8934198331788693</v>
      </c>
      <c r="GQ51" s="107">
        <v>774</v>
      </c>
      <c r="GR51" s="108">
        <f t="shared" si="85"/>
        <v>0.80290456431535273</v>
      </c>
      <c r="GS51" s="107">
        <v>183</v>
      </c>
      <c r="GT51" s="108">
        <f t="shared" si="86"/>
        <v>0.18983402489626555</v>
      </c>
    </row>
    <row r="52" spans="1:202" x14ac:dyDescent="0.25">
      <c r="A52" s="104" t="s">
        <v>224</v>
      </c>
      <c r="B52" s="143">
        <v>42584</v>
      </c>
      <c r="C52" s="143">
        <v>10206</v>
      </c>
      <c r="D52" s="143">
        <v>7137</v>
      </c>
      <c r="E52" s="143">
        <v>2705</v>
      </c>
      <c r="F52" s="143">
        <v>599</v>
      </c>
      <c r="G52" s="144">
        <f t="shared" si="2"/>
        <v>0.2396674807439414</v>
      </c>
      <c r="H52" s="144">
        <f t="shared" si="3"/>
        <v>0.16759815893293256</v>
      </c>
      <c r="I52" s="144">
        <f t="shared" si="4"/>
        <v>6.3521510426451253E-2</v>
      </c>
      <c r="J52" s="144">
        <f t="shared" si="5"/>
        <v>1.4066315987225249E-2</v>
      </c>
      <c r="K52" s="143">
        <v>3458</v>
      </c>
      <c r="L52" s="145">
        <f t="shared" si="6"/>
        <v>0.48451730418943534</v>
      </c>
      <c r="M52" s="143">
        <v>3679</v>
      </c>
      <c r="N52" s="145">
        <f t="shared" si="7"/>
        <v>0.51548269581056472</v>
      </c>
      <c r="O52" s="148">
        <v>38.799999999999997</v>
      </c>
      <c r="P52" s="107">
        <v>15867</v>
      </c>
      <c r="Q52" s="107">
        <v>6558</v>
      </c>
      <c r="R52" s="108">
        <f t="shared" si="8"/>
        <v>0.4133106447343543</v>
      </c>
      <c r="S52" s="107">
        <v>4625</v>
      </c>
      <c r="T52" s="149">
        <f t="shared" si="9"/>
        <v>0.2914854729942648</v>
      </c>
      <c r="U52" s="143">
        <v>3458</v>
      </c>
      <c r="V52" s="107">
        <v>189</v>
      </c>
      <c r="W52" s="108">
        <f t="shared" si="10"/>
        <v>5.4655870445344132E-2</v>
      </c>
      <c r="X52" s="107">
        <v>2544</v>
      </c>
      <c r="Y52" s="150">
        <f t="shared" si="11"/>
        <v>0.73568536726431466</v>
      </c>
      <c r="Z52" s="107">
        <v>82</v>
      </c>
      <c r="AA52" s="108">
        <f t="shared" si="12"/>
        <v>2.3713128976286871E-2</v>
      </c>
      <c r="AB52" s="107">
        <v>278</v>
      </c>
      <c r="AC52" s="108">
        <f t="shared" si="13"/>
        <v>8.0393290919606702E-2</v>
      </c>
      <c r="AD52" s="107">
        <v>365</v>
      </c>
      <c r="AE52" s="108">
        <f t="shared" si="14"/>
        <v>0.10555234239444766</v>
      </c>
      <c r="AF52" s="107">
        <v>3679</v>
      </c>
      <c r="AG52" s="107">
        <v>190</v>
      </c>
      <c r="AH52" s="108">
        <f t="shared" si="15"/>
        <v>5.1644468605599347E-2</v>
      </c>
      <c r="AI52" s="107">
        <v>1985</v>
      </c>
      <c r="AJ52" s="108">
        <f t="shared" si="16"/>
        <v>0.53954879043218262</v>
      </c>
      <c r="AK52" s="107">
        <v>127</v>
      </c>
      <c r="AL52" s="108">
        <f t="shared" si="17"/>
        <v>3.452025006795325E-2</v>
      </c>
      <c r="AM52" s="107">
        <v>999</v>
      </c>
      <c r="AN52" s="108">
        <f t="shared" si="18"/>
        <v>0.27154117966838814</v>
      </c>
      <c r="AO52" s="107">
        <v>378</v>
      </c>
      <c r="AP52" s="108">
        <f t="shared" si="19"/>
        <v>0.1027453112258766</v>
      </c>
      <c r="AQ52" s="107">
        <f t="shared" si="20"/>
        <v>7137</v>
      </c>
      <c r="AR52" s="107">
        <f t="shared" si="21"/>
        <v>379</v>
      </c>
      <c r="AS52" s="108">
        <f t="shared" si="22"/>
        <v>5.3103544906823598E-2</v>
      </c>
      <c r="AT52" s="107">
        <f t="shared" si="23"/>
        <v>4529</v>
      </c>
      <c r="AU52" s="108">
        <f t="shared" si="24"/>
        <v>0.63458035589183126</v>
      </c>
      <c r="AV52" s="107">
        <f t="shared" si="25"/>
        <v>209</v>
      </c>
      <c r="AW52" s="108">
        <f t="shared" si="26"/>
        <v>2.9284012890570268E-2</v>
      </c>
      <c r="AX52" s="107">
        <f t="shared" si="27"/>
        <v>1277</v>
      </c>
      <c r="AY52" s="108">
        <f t="shared" si="28"/>
        <v>0.17892671991032646</v>
      </c>
      <c r="AZ52" s="107">
        <f t="shared" si="29"/>
        <v>743</v>
      </c>
      <c r="BA52" s="108">
        <f t="shared" si="30"/>
        <v>0.10410536640044837</v>
      </c>
      <c r="BB52" s="111">
        <v>3435</v>
      </c>
      <c r="BC52" s="111">
        <v>829</v>
      </c>
      <c r="BD52" s="152">
        <f t="shared" si="31"/>
        <v>0.2413391557496361</v>
      </c>
      <c r="BE52" s="111">
        <v>3475</v>
      </c>
      <c r="BF52" s="111">
        <v>761</v>
      </c>
      <c r="BG52" s="152">
        <f t="shared" si="0"/>
        <v>0.21899280575539568</v>
      </c>
      <c r="BH52" s="153">
        <f t="shared" si="32"/>
        <v>6910</v>
      </c>
      <c r="BI52" s="153">
        <f t="shared" si="33"/>
        <v>1590</v>
      </c>
      <c r="BJ52" s="154">
        <f t="shared" si="34"/>
        <v>0.23010130246020261</v>
      </c>
      <c r="BK52" s="107">
        <v>7137</v>
      </c>
      <c r="BL52" s="107">
        <v>1619</v>
      </c>
      <c r="BM52" s="108">
        <f t="shared" si="87"/>
        <v>0.22684601373125962</v>
      </c>
      <c r="BN52" s="107">
        <v>3458</v>
      </c>
      <c r="BO52" s="107">
        <v>593</v>
      </c>
      <c r="BP52" s="108">
        <f t="shared" si="35"/>
        <v>0.17148640832851358</v>
      </c>
      <c r="BQ52" s="107">
        <v>3679</v>
      </c>
      <c r="BR52" s="107">
        <v>1026</v>
      </c>
      <c r="BS52" s="108">
        <f t="shared" si="36"/>
        <v>0.27888013047023646</v>
      </c>
      <c r="BT52" s="113">
        <v>43380</v>
      </c>
      <c r="BU52" s="113">
        <v>7737</v>
      </c>
      <c r="BV52" s="156">
        <f t="shared" si="37"/>
        <v>0.17835408022130014</v>
      </c>
      <c r="BW52" s="156">
        <f t="shared" si="38"/>
        <v>1</v>
      </c>
      <c r="BX52" s="113">
        <v>40014</v>
      </c>
      <c r="BY52" s="113">
        <v>7567</v>
      </c>
      <c r="BZ52" s="156">
        <f t="shared" si="39"/>
        <v>0.18910881191582946</v>
      </c>
      <c r="CA52" s="156">
        <f t="shared" si="40"/>
        <v>0.97802765929947011</v>
      </c>
      <c r="CB52" s="113">
        <v>387</v>
      </c>
      <c r="CC52" s="113">
        <v>21</v>
      </c>
      <c r="CD52" s="156">
        <f t="shared" si="41"/>
        <v>5.4263565891472867E-2</v>
      </c>
      <c r="CE52" s="156">
        <f t="shared" si="88"/>
        <v>2.7142303218301669E-3</v>
      </c>
      <c r="CF52" s="113">
        <v>204</v>
      </c>
      <c r="CG52" s="113">
        <v>19</v>
      </c>
      <c r="CH52" s="156">
        <f t="shared" si="42"/>
        <v>9.3137254901960786E-2</v>
      </c>
      <c r="CI52" s="156">
        <f t="shared" si="43"/>
        <v>2.4557321959415793E-3</v>
      </c>
      <c r="CJ52" s="113">
        <v>607</v>
      </c>
      <c r="CK52" s="113">
        <v>31</v>
      </c>
      <c r="CL52" s="161">
        <f t="shared" si="44"/>
        <v>5.1070840197693576E-2</v>
      </c>
      <c r="CM52" s="156">
        <f t="shared" si="45"/>
        <v>4.0067209512731029E-3</v>
      </c>
      <c r="CN52" s="113">
        <v>17</v>
      </c>
      <c r="CO52" s="113">
        <v>0</v>
      </c>
      <c r="CP52" s="161">
        <f t="shared" si="46"/>
        <v>0</v>
      </c>
      <c r="CQ52" s="156">
        <f t="shared" si="47"/>
        <v>0</v>
      </c>
      <c r="CR52" s="105">
        <v>89</v>
      </c>
      <c r="CS52" s="105">
        <v>0</v>
      </c>
      <c r="CT52" s="106">
        <f t="shared" si="48"/>
        <v>0</v>
      </c>
      <c r="CU52" s="106">
        <f t="shared" si="49"/>
        <v>0</v>
      </c>
      <c r="CV52" s="113">
        <v>787</v>
      </c>
      <c r="CW52" s="113">
        <v>33</v>
      </c>
      <c r="CX52" s="156">
        <f t="shared" si="50"/>
        <v>4.1931385006353239E-2</v>
      </c>
      <c r="CY52" s="156">
        <f t="shared" si="51"/>
        <v>4.2652190771616909E-3</v>
      </c>
      <c r="CZ52" s="113">
        <v>1364</v>
      </c>
      <c r="DA52" s="113">
        <v>66</v>
      </c>
      <c r="DB52" s="156">
        <f t="shared" si="52"/>
        <v>4.8387096774193547E-2</v>
      </c>
      <c r="DC52" s="156">
        <f t="shared" si="89"/>
        <v>8.5304381543233818E-3</v>
      </c>
      <c r="DD52" s="107">
        <v>3458</v>
      </c>
      <c r="DE52" s="107">
        <v>213</v>
      </c>
      <c r="DF52" s="107">
        <v>1203</v>
      </c>
      <c r="DG52" s="107">
        <v>956</v>
      </c>
      <c r="DH52" s="107">
        <v>1086</v>
      </c>
      <c r="DI52" s="149">
        <f t="shared" si="53"/>
        <v>6.1596298438403703E-2</v>
      </c>
      <c r="DJ52" s="149">
        <f t="shared" si="54"/>
        <v>0.34788895315211105</v>
      </c>
      <c r="DK52" s="149">
        <f t="shared" si="55"/>
        <v>0.59051474840948526</v>
      </c>
      <c r="DL52" s="107">
        <v>3679</v>
      </c>
      <c r="DM52" s="107">
        <v>163</v>
      </c>
      <c r="DN52" s="107">
        <v>1545</v>
      </c>
      <c r="DO52" s="107">
        <v>1056</v>
      </c>
      <c r="DP52" s="107">
        <v>915</v>
      </c>
      <c r="DQ52" s="149">
        <f t="shared" si="56"/>
        <v>4.430551780375102E-2</v>
      </c>
      <c r="DR52" s="149">
        <f t="shared" si="57"/>
        <v>0.41995107366132101</v>
      </c>
      <c r="DS52" s="149">
        <f t="shared" si="58"/>
        <v>0.53574340853492797</v>
      </c>
      <c r="DT52" s="107">
        <f t="shared" si="59"/>
        <v>7137</v>
      </c>
      <c r="DU52" s="107">
        <f t="shared" si="60"/>
        <v>376</v>
      </c>
      <c r="DV52" s="107">
        <f t="shared" si="61"/>
        <v>2748</v>
      </c>
      <c r="DW52" s="107">
        <f t="shared" si="62"/>
        <v>2012</v>
      </c>
      <c r="DX52" s="107">
        <f t="shared" si="63"/>
        <v>2001</v>
      </c>
      <c r="DY52" s="108">
        <f t="shared" si="64"/>
        <v>5.2683200224183831E-2</v>
      </c>
      <c r="DZ52" s="108">
        <f t="shared" si="65"/>
        <v>0.38503572929802438</v>
      </c>
      <c r="EA52" s="108">
        <f t="shared" si="66"/>
        <v>0.56228107047779174</v>
      </c>
      <c r="EB52" s="107">
        <v>4265</v>
      </c>
      <c r="EC52" s="110">
        <v>204</v>
      </c>
      <c r="ED52" s="108">
        <f t="shared" si="67"/>
        <v>4.7831184056271979E-2</v>
      </c>
      <c r="EE52" s="107">
        <v>500</v>
      </c>
      <c r="EF52" s="108">
        <f t="shared" si="67"/>
        <v>0.11723329425556858</v>
      </c>
      <c r="EG52" s="107">
        <v>926</v>
      </c>
      <c r="EH52" s="108">
        <f t="shared" ref="EH52" si="412">EG52/$EB52</f>
        <v>0.217116060961313</v>
      </c>
      <c r="EI52" s="107">
        <v>1535</v>
      </c>
      <c r="EJ52" s="108">
        <f t="shared" ref="EJ52" si="413">EI52/$EB52</f>
        <v>0.35990621336459555</v>
      </c>
      <c r="EK52" s="107">
        <v>2429</v>
      </c>
      <c r="EL52" s="108">
        <f t="shared" ref="EL52" si="414">EK52/$EB52</f>
        <v>0.56951934349355215</v>
      </c>
      <c r="EM52" s="107">
        <v>2922</v>
      </c>
      <c r="EN52" s="108">
        <f t="shared" ref="EN52" si="415">EM52/$EB52</f>
        <v>0.68511137162954283</v>
      </c>
      <c r="EO52" s="163">
        <v>92109</v>
      </c>
      <c r="EP52" s="163">
        <v>46956</v>
      </c>
      <c r="EQ52" s="163">
        <v>106075</v>
      </c>
      <c r="ER52" s="163">
        <v>109298</v>
      </c>
      <c r="ES52" s="163">
        <v>66546</v>
      </c>
      <c r="ET52" s="107">
        <v>3435</v>
      </c>
      <c r="EU52" s="107">
        <v>151</v>
      </c>
      <c r="EV52" s="108">
        <f t="shared" si="72"/>
        <v>4.3959243085880638E-2</v>
      </c>
      <c r="EW52" s="107">
        <v>3475</v>
      </c>
      <c r="EX52" s="107">
        <v>265</v>
      </c>
      <c r="EY52" s="108">
        <f t="shared" si="73"/>
        <v>7.6258992805755391E-2</v>
      </c>
      <c r="EZ52" s="107">
        <f t="shared" si="74"/>
        <v>6910</v>
      </c>
      <c r="FA52" s="107">
        <f t="shared" si="75"/>
        <v>416</v>
      </c>
      <c r="FB52" s="108">
        <f t="shared" si="76"/>
        <v>6.020260492040521E-2</v>
      </c>
      <c r="FC52" s="107">
        <v>6910</v>
      </c>
      <c r="FD52" s="107">
        <v>416</v>
      </c>
      <c r="FE52" s="108">
        <f t="shared" si="77"/>
        <v>6.020260492040521E-2</v>
      </c>
      <c r="FF52" s="107">
        <v>677</v>
      </c>
      <c r="FG52" s="108">
        <f t="shared" si="77"/>
        <v>9.7973950795947895E-2</v>
      </c>
      <c r="FH52" s="107">
        <v>1038</v>
      </c>
      <c r="FI52" s="108">
        <f t="shared" ref="FI52" si="416">FH52/$FC52</f>
        <v>0.15021707670043416</v>
      </c>
      <c r="FJ52" s="107">
        <v>1269</v>
      </c>
      <c r="FK52" s="108">
        <f t="shared" ref="FK52" si="417">FJ52/$FC52</f>
        <v>0.18364688856729378</v>
      </c>
      <c r="FL52" s="107">
        <v>2585</v>
      </c>
      <c r="FM52" s="108">
        <f t="shared" ref="FM52" si="418">FL52/$FC52</f>
        <v>0.374095513748191</v>
      </c>
      <c r="FN52" s="107">
        <v>658</v>
      </c>
      <c r="FO52" s="108">
        <v>0.29626294461954072</v>
      </c>
      <c r="FP52" s="107">
        <v>4</v>
      </c>
      <c r="FQ52" s="108">
        <v>1.8009905447996398E-3</v>
      </c>
      <c r="FR52" s="107">
        <v>53</v>
      </c>
      <c r="FS52" s="108">
        <v>4.2845594179466449E-2</v>
      </c>
      <c r="FT52" s="110">
        <v>3</v>
      </c>
      <c r="FU52" s="108">
        <v>2.425222312045271E-3</v>
      </c>
      <c r="FV52" s="107">
        <v>394</v>
      </c>
      <c r="FW52" s="108">
        <v>0.17819990954319312</v>
      </c>
      <c r="FX52" s="107">
        <v>7</v>
      </c>
      <c r="FY52" s="108">
        <v>3.1659882406151062E-3</v>
      </c>
      <c r="FZ52" s="107">
        <v>68</v>
      </c>
      <c r="GA52" s="108">
        <v>4.632152588555858E-2</v>
      </c>
      <c r="GB52" s="107">
        <v>0</v>
      </c>
      <c r="GC52" s="108">
        <v>0</v>
      </c>
      <c r="GD52" s="107">
        <v>1173</v>
      </c>
      <c r="GE52" s="117">
        <v>0.16435477091214795</v>
      </c>
      <c r="GF52" s="107">
        <v>14</v>
      </c>
      <c r="GG52" s="117">
        <v>1.9616085189855682E-3</v>
      </c>
      <c r="GH52" s="107">
        <v>4265</v>
      </c>
      <c r="GI52" s="107">
        <v>582</v>
      </c>
      <c r="GJ52" s="108">
        <f t="shared" si="81"/>
        <v>0.13645955451348182</v>
      </c>
      <c r="GK52" s="107">
        <v>257</v>
      </c>
      <c r="GL52" s="108">
        <f t="shared" si="82"/>
        <v>0.44158075601374569</v>
      </c>
      <c r="GM52" s="107">
        <v>257</v>
      </c>
      <c r="GN52" s="108">
        <f t="shared" si="83"/>
        <v>0.44158075601374569</v>
      </c>
      <c r="GO52" s="107">
        <v>3683</v>
      </c>
      <c r="GP52" s="108">
        <f t="shared" si="84"/>
        <v>0.8635404454865182</v>
      </c>
      <c r="GQ52" s="107">
        <v>2938</v>
      </c>
      <c r="GR52" s="108">
        <f t="shared" si="85"/>
        <v>0.79771925061091498</v>
      </c>
      <c r="GS52" s="107">
        <v>722</v>
      </c>
      <c r="GT52" s="108">
        <f t="shared" si="86"/>
        <v>0.19603584034754276</v>
      </c>
    </row>
    <row r="53" spans="1:202" x14ac:dyDescent="0.25">
      <c r="A53" s="104" t="s">
        <v>225</v>
      </c>
      <c r="B53" s="143">
        <v>45555</v>
      </c>
      <c r="C53" s="143">
        <v>14307</v>
      </c>
      <c r="D53" s="143">
        <v>10305</v>
      </c>
      <c r="E53" s="143">
        <v>3963</v>
      </c>
      <c r="F53" s="143">
        <v>814</v>
      </c>
      <c r="G53" s="144">
        <f t="shared" si="2"/>
        <v>0.31405992756009221</v>
      </c>
      <c r="H53" s="144">
        <f t="shared" si="3"/>
        <v>0.22621007573263088</v>
      </c>
      <c r="I53" s="144">
        <f t="shared" si="4"/>
        <v>8.6993743826144221E-2</v>
      </c>
      <c r="J53" s="144">
        <f t="shared" si="5"/>
        <v>1.7868510591592581E-2</v>
      </c>
      <c r="K53" s="143">
        <v>5112</v>
      </c>
      <c r="L53" s="145">
        <f t="shared" si="6"/>
        <v>0.49606986899563321</v>
      </c>
      <c r="M53" s="143">
        <v>5193</v>
      </c>
      <c r="N53" s="145">
        <f t="shared" si="7"/>
        <v>0.50393013100436679</v>
      </c>
      <c r="O53" s="148">
        <v>46.7</v>
      </c>
      <c r="P53" s="107">
        <v>19542</v>
      </c>
      <c r="Q53" s="107">
        <v>9639</v>
      </c>
      <c r="R53" s="108">
        <f t="shared" si="8"/>
        <v>0.49324531777709546</v>
      </c>
      <c r="S53" s="107">
        <v>7125</v>
      </c>
      <c r="T53" s="149">
        <f t="shared" si="9"/>
        <v>0.36459932453177774</v>
      </c>
      <c r="U53" s="143">
        <v>5112</v>
      </c>
      <c r="V53" s="107">
        <v>246</v>
      </c>
      <c r="W53" s="108">
        <f t="shared" si="10"/>
        <v>4.8122065727699531E-2</v>
      </c>
      <c r="X53" s="107">
        <v>3636</v>
      </c>
      <c r="Y53" s="150">
        <f t="shared" si="11"/>
        <v>0.71126760563380287</v>
      </c>
      <c r="Z53" s="107">
        <v>110</v>
      </c>
      <c r="AA53" s="108">
        <f t="shared" si="12"/>
        <v>2.1517996870109544E-2</v>
      </c>
      <c r="AB53" s="107">
        <v>436</v>
      </c>
      <c r="AC53" s="108">
        <f t="shared" si="13"/>
        <v>8.5289514866979652E-2</v>
      </c>
      <c r="AD53" s="107">
        <v>684</v>
      </c>
      <c r="AE53" s="108">
        <f t="shared" si="14"/>
        <v>0.13380281690140844</v>
      </c>
      <c r="AF53" s="107">
        <v>5193</v>
      </c>
      <c r="AG53" s="107">
        <v>189</v>
      </c>
      <c r="AH53" s="108">
        <f t="shared" si="15"/>
        <v>3.6395147313691506E-2</v>
      </c>
      <c r="AI53" s="107">
        <v>2895</v>
      </c>
      <c r="AJ53" s="108">
        <f t="shared" si="16"/>
        <v>0.55748122472559214</v>
      </c>
      <c r="AK53" s="107">
        <v>113</v>
      </c>
      <c r="AL53" s="108">
        <f t="shared" si="17"/>
        <v>2.1760061621413442E-2</v>
      </c>
      <c r="AM53" s="107">
        <v>1343</v>
      </c>
      <c r="AN53" s="108">
        <f t="shared" si="18"/>
        <v>0.25861736953591374</v>
      </c>
      <c r="AO53" s="107">
        <v>653</v>
      </c>
      <c r="AP53" s="108">
        <f t="shared" si="19"/>
        <v>0.12574619680338917</v>
      </c>
      <c r="AQ53" s="107">
        <f t="shared" si="20"/>
        <v>10305</v>
      </c>
      <c r="AR53" s="107">
        <f t="shared" si="21"/>
        <v>435</v>
      </c>
      <c r="AS53" s="108">
        <f t="shared" si="22"/>
        <v>4.2212518195050945E-2</v>
      </c>
      <c r="AT53" s="107">
        <f t="shared" si="23"/>
        <v>6531</v>
      </c>
      <c r="AU53" s="108">
        <f t="shared" si="24"/>
        <v>0.63377001455604076</v>
      </c>
      <c r="AV53" s="107">
        <f t="shared" si="25"/>
        <v>223</v>
      </c>
      <c r="AW53" s="108">
        <f t="shared" si="26"/>
        <v>2.1639980591945659E-2</v>
      </c>
      <c r="AX53" s="107">
        <f t="shared" si="27"/>
        <v>1779</v>
      </c>
      <c r="AY53" s="108">
        <f t="shared" si="28"/>
        <v>0.17263464337700146</v>
      </c>
      <c r="AZ53" s="107">
        <f t="shared" si="29"/>
        <v>1337</v>
      </c>
      <c r="BA53" s="108">
        <f t="shared" si="30"/>
        <v>0.12974284327996119</v>
      </c>
      <c r="BB53" s="111">
        <v>5023</v>
      </c>
      <c r="BC53" s="111">
        <v>1417</v>
      </c>
      <c r="BD53" s="152">
        <f t="shared" si="31"/>
        <v>0.28210232928528767</v>
      </c>
      <c r="BE53" s="111">
        <v>5010</v>
      </c>
      <c r="BF53" s="111">
        <v>1252</v>
      </c>
      <c r="BG53" s="152">
        <f t="shared" si="0"/>
        <v>0.2499001996007984</v>
      </c>
      <c r="BH53" s="153">
        <f t="shared" si="32"/>
        <v>10033</v>
      </c>
      <c r="BI53" s="153">
        <f t="shared" si="33"/>
        <v>2669</v>
      </c>
      <c r="BJ53" s="154">
        <f t="shared" si="34"/>
        <v>0.26602212698096284</v>
      </c>
      <c r="BK53" s="107">
        <v>10305</v>
      </c>
      <c r="BL53" s="107">
        <v>2579</v>
      </c>
      <c r="BM53" s="108">
        <f t="shared" si="87"/>
        <v>0.25026686074721011</v>
      </c>
      <c r="BN53" s="107">
        <v>5112</v>
      </c>
      <c r="BO53" s="107">
        <v>1003</v>
      </c>
      <c r="BP53" s="108">
        <f t="shared" si="35"/>
        <v>0.19620500782472614</v>
      </c>
      <c r="BQ53" s="107">
        <v>5193</v>
      </c>
      <c r="BR53" s="107">
        <v>1576</v>
      </c>
      <c r="BS53" s="108">
        <f t="shared" si="36"/>
        <v>0.3034854611977662</v>
      </c>
      <c r="BT53" s="113">
        <v>45831</v>
      </c>
      <c r="BU53" s="113">
        <v>11043</v>
      </c>
      <c r="BV53" s="156">
        <f t="shared" si="37"/>
        <v>0.24095044838646332</v>
      </c>
      <c r="BW53" s="156">
        <f t="shared" si="38"/>
        <v>1</v>
      </c>
      <c r="BX53" s="113">
        <v>43146</v>
      </c>
      <c r="BY53" s="113">
        <v>10803</v>
      </c>
      <c r="BZ53" s="156">
        <f t="shared" si="39"/>
        <v>0.25038242247253512</v>
      </c>
      <c r="CA53" s="156">
        <f t="shared" si="40"/>
        <v>0.97826677533279005</v>
      </c>
      <c r="CB53" s="113">
        <v>211</v>
      </c>
      <c r="CC53" s="113">
        <v>24</v>
      </c>
      <c r="CD53" s="156">
        <f t="shared" si="41"/>
        <v>0.11374407582938388</v>
      </c>
      <c r="CE53" s="156">
        <f t="shared" si="88"/>
        <v>2.1733224667209996E-3</v>
      </c>
      <c r="CF53" s="113">
        <v>461</v>
      </c>
      <c r="CG53" s="113">
        <v>49</v>
      </c>
      <c r="CH53" s="156">
        <f t="shared" si="42"/>
        <v>0.10629067245119306</v>
      </c>
      <c r="CI53" s="156">
        <f t="shared" si="43"/>
        <v>4.4372000362220415E-3</v>
      </c>
      <c r="CJ53" s="113">
        <v>340</v>
      </c>
      <c r="CK53" s="113">
        <v>44</v>
      </c>
      <c r="CL53" s="161">
        <f t="shared" si="44"/>
        <v>0.12941176470588237</v>
      </c>
      <c r="CM53" s="156">
        <f t="shared" si="45"/>
        <v>3.9844245223218328E-3</v>
      </c>
      <c r="CN53" s="113">
        <v>10</v>
      </c>
      <c r="CO53" s="113">
        <v>1</v>
      </c>
      <c r="CP53" s="161">
        <f t="shared" si="46"/>
        <v>0.1</v>
      </c>
      <c r="CQ53" s="156">
        <f t="shared" si="47"/>
        <v>9.0555102780041655E-5</v>
      </c>
      <c r="CR53" s="105">
        <v>320</v>
      </c>
      <c r="CS53" s="105">
        <v>3</v>
      </c>
      <c r="CT53" s="106">
        <f t="shared" si="48"/>
        <v>9.3749999999999997E-3</v>
      </c>
      <c r="CU53" s="106">
        <f t="shared" si="49"/>
        <v>2.7166530834012495E-4</v>
      </c>
      <c r="CV53" s="113">
        <v>594</v>
      </c>
      <c r="CW53" s="113">
        <v>51</v>
      </c>
      <c r="CX53" s="156">
        <f t="shared" si="50"/>
        <v>8.5858585858585856E-2</v>
      </c>
      <c r="CY53" s="156">
        <f t="shared" si="51"/>
        <v>4.6183102417821243E-3</v>
      </c>
      <c r="CZ53" s="113">
        <v>1069</v>
      </c>
      <c r="DA53" s="113">
        <v>71</v>
      </c>
      <c r="DB53" s="156">
        <f t="shared" si="52"/>
        <v>6.641721234798878E-2</v>
      </c>
      <c r="DC53" s="156">
        <f t="shared" si="89"/>
        <v>6.4294122973829575E-3</v>
      </c>
      <c r="DD53" s="107">
        <v>5112</v>
      </c>
      <c r="DE53" s="107">
        <v>372</v>
      </c>
      <c r="DF53" s="107">
        <v>1939</v>
      </c>
      <c r="DG53" s="107">
        <v>1573</v>
      </c>
      <c r="DH53" s="107">
        <v>1228</v>
      </c>
      <c r="DI53" s="149">
        <f t="shared" si="53"/>
        <v>7.2769953051643188E-2</v>
      </c>
      <c r="DJ53" s="149">
        <f t="shared" si="54"/>
        <v>0.37930359937402192</v>
      </c>
      <c r="DK53" s="149">
        <f t="shared" si="55"/>
        <v>0.54792644757433495</v>
      </c>
      <c r="DL53" s="107">
        <v>5193</v>
      </c>
      <c r="DM53" s="107">
        <v>208</v>
      </c>
      <c r="DN53" s="107">
        <v>2148</v>
      </c>
      <c r="DO53" s="107">
        <v>1737</v>
      </c>
      <c r="DP53" s="107">
        <v>1100</v>
      </c>
      <c r="DQ53" s="149">
        <f t="shared" si="56"/>
        <v>4.0053918736761021E-2</v>
      </c>
      <c r="DR53" s="149">
        <f t="shared" si="57"/>
        <v>0.41363373772385903</v>
      </c>
      <c r="DS53" s="149">
        <f t="shared" si="58"/>
        <v>0.54631234353937996</v>
      </c>
      <c r="DT53" s="107">
        <f t="shared" si="59"/>
        <v>10305</v>
      </c>
      <c r="DU53" s="107">
        <f t="shared" si="60"/>
        <v>580</v>
      </c>
      <c r="DV53" s="107">
        <f t="shared" si="61"/>
        <v>4087</v>
      </c>
      <c r="DW53" s="107">
        <f t="shared" si="62"/>
        <v>3310</v>
      </c>
      <c r="DX53" s="107">
        <f t="shared" si="63"/>
        <v>2328</v>
      </c>
      <c r="DY53" s="108">
        <f t="shared" si="64"/>
        <v>5.6283357593401265E-2</v>
      </c>
      <c r="DZ53" s="108">
        <f t="shared" si="65"/>
        <v>0.39660359049005339</v>
      </c>
      <c r="EA53" s="108">
        <f t="shared" si="66"/>
        <v>0.54711305191654536</v>
      </c>
      <c r="EB53" s="107">
        <v>6469</v>
      </c>
      <c r="EC53" s="110">
        <v>451</v>
      </c>
      <c r="ED53" s="108">
        <f t="shared" si="67"/>
        <v>6.9717112382130159E-2</v>
      </c>
      <c r="EE53" s="107">
        <v>1151</v>
      </c>
      <c r="EF53" s="108">
        <f t="shared" si="67"/>
        <v>0.17792549080228784</v>
      </c>
      <c r="EG53" s="107">
        <v>1886</v>
      </c>
      <c r="EH53" s="108">
        <f t="shared" ref="EH53" si="419">EG53/$EB53</f>
        <v>0.2915442881434534</v>
      </c>
      <c r="EI53" s="107">
        <v>2830</v>
      </c>
      <c r="EJ53" s="108">
        <f t="shared" ref="EJ53" si="420">EI53/$EB53</f>
        <v>0.43747101561292318</v>
      </c>
      <c r="EK53" s="107">
        <v>4339</v>
      </c>
      <c r="EL53" s="108">
        <f t="shared" ref="EL53" si="421">EK53/$EB53</f>
        <v>0.67073736280723451</v>
      </c>
      <c r="EM53" s="107">
        <v>5424</v>
      </c>
      <c r="EN53" s="108">
        <f t="shared" ref="EN53" si="422">EM53/$EB53</f>
        <v>0.83846034935847891</v>
      </c>
      <c r="EO53" s="163">
        <v>77219</v>
      </c>
      <c r="EP53" s="163">
        <v>59517</v>
      </c>
      <c r="EQ53" s="163">
        <v>94965</v>
      </c>
      <c r="ER53" s="163">
        <v>91783</v>
      </c>
      <c r="ES53" s="163">
        <v>56318</v>
      </c>
      <c r="ET53" s="107">
        <v>5023</v>
      </c>
      <c r="EU53" s="107">
        <v>336</v>
      </c>
      <c r="EV53" s="108">
        <f t="shared" si="72"/>
        <v>6.6892295440971528E-2</v>
      </c>
      <c r="EW53" s="107">
        <v>5010</v>
      </c>
      <c r="EX53" s="107">
        <v>417</v>
      </c>
      <c r="EY53" s="108">
        <f t="shared" si="73"/>
        <v>8.3233532934131743E-2</v>
      </c>
      <c r="EZ53" s="107">
        <f t="shared" si="74"/>
        <v>10033</v>
      </c>
      <c r="FA53" s="107">
        <f t="shared" si="75"/>
        <v>753</v>
      </c>
      <c r="FB53" s="108">
        <f t="shared" si="76"/>
        <v>7.5052327319844514E-2</v>
      </c>
      <c r="FC53" s="107">
        <v>10033</v>
      </c>
      <c r="FD53" s="107">
        <v>753</v>
      </c>
      <c r="FE53" s="108">
        <f t="shared" si="77"/>
        <v>7.5052327319844514E-2</v>
      </c>
      <c r="FF53" s="107">
        <v>1508</v>
      </c>
      <c r="FG53" s="108">
        <f t="shared" si="77"/>
        <v>0.15030399681052525</v>
      </c>
      <c r="FH53" s="107">
        <v>2148</v>
      </c>
      <c r="FI53" s="108">
        <f t="shared" ref="FI53" si="423">FH53/$FC53</f>
        <v>0.21409349147812221</v>
      </c>
      <c r="FJ53" s="107">
        <v>2524</v>
      </c>
      <c r="FK53" s="108">
        <f t="shared" ref="FK53" si="424">FJ53/$FC53</f>
        <v>0.25156981959533542</v>
      </c>
      <c r="FL53" s="107">
        <v>4398</v>
      </c>
      <c r="FM53" s="108">
        <f t="shared" ref="FM53" si="425">FL53/$FC53</f>
        <v>0.43835343366889268</v>
      </c>
      <c r="FN53" s="107">
        <v>638</v>
      </c>
      <c r="FO53" s="108">
        <v>0.19612665232093451</v>
      </c>
      <c r="FP53" s="107">
        <v>16</v>
      </c>
      <c r="FQ53" s="108">
        <v>4.9185367353212417E-3</v>
      </c>
      <c r="FR53" s="107">
        <v>81</v>
      </c>
      <c r="FS53" s="108">
        <v>4.357181280258203E-2</v>
      </c>
      <c r="FT53" s="110">
        <v>0</v>
      </c>
      <c r="FU53" s="108">
        <v>0</v>
      </c>
      <c r="FV53" s="107">
        <v>597</v>
      </c>
      <c r="FW53" s="108">
        <v>0.19326642926513435</v>
      </c>
      <c r="FX53" s="107">
        <v>8</v>
      </c>
      <c r="FY53" s="108">
        <v>2.589834898025251E-3</v>
      </c>
      <c r="FZ53" s="107">
        <v>69</v>
      </c>
      <c r="GA53" s="108">
        <v>3.2794676806083653E-2</v>
      </c>
      <c r="GB53" s="107">
        <v>0</v>
      </c>
      <c r="GC53" s="108">
        <v>0</v>
      </c>
      <c r="GD53" s="107">
        <v>1385</v>
      </c>
      <c r="GE53" s="117">
        <v>0.1344007763221737</v>
      </c>
      <c r="GF53" s="107">
        <v>24</v>
      </c>
      <c r="GG53" s="117">
        <v>2.3289665211062593E-3</v>
      </c>
      <c r="GH53" s="107">
        <v>6469</v>
      </c>
      <c r="GI53" s="107">
        <v>927</v>
      </c>
      <c r="GJ53" s="108">
        <f t="shared" si="81"/>
        <v>0.14329880970783737</v>
      </c>
      <c r="GK53" s="107">
        <v>405</v>
      </c>
      <c r="GL53" s="108">
        <f t="shared" si="82"/>
        <v>0.43689320388349512</v>
      </c>
      <c r="GM53" s="107">
        <v>391</v>
      </c>
      <c r="GN53" s="108">
        <f t="shared" si="83"/>
        <v>0.42179072276159657</v>
      </c>
      <c r="GO53" s="107">
        <v>5542</v>
      </c>
      <c r="GP53" s="108">
        <f t="shared" si="84"/>
        <v>0.85670119029216263</v>
      </c>
      <c r="GQ53" s="107">
        <v>4180</v>
      </c>
      <c r="GR53" s="108">
        <f t="shared" si="85"/>
        <v>0.75424034644532656</v>
      </c>
      <c r="GS53" s="107">
        <v>1343</v>
      </c>
      <c r="GT53" s="108">
        <f t="shared" si="86"/>
        <v>0.24233128834355827</v>
      </c>
    </row>
    <row r="54" spans="1:202" x14ac:dyDescent="0.25">
      <c r="A54" s="104" t="s">
        <v>226</v>
      </c>
      <c r="B54" s="143">
        <v>70832</v>
      </c>
      <c r="C54" s="143">
        <v>17860</v>
      </c>
      <c r="D54" s="143">
        <v>12990</v>
      </c>
      <c r="E54" s="143">
        <v>5058</v>
      </c>
      <c r="F54" s="143">
        <v>1165</v>
      </c>
      <c r="G54" s="144">
        <f t="shared" si="2"/>
        <v>0.2521459227467811</v>
      </c>
      <c r="H54" s="144">
        <f t="shared" si="3"/>
        <v>0.18339168737293879</v>
      </c>
      <c r="I54" s="144">
        <f t="shared" si="4"/>
        <v>7.1408402981703187E-2</v>
      </c>
      <c r="J54" s="144">
        <f t="shared" si="5"/>
        <v>1.6447368421052631E-2</v>
      </c>
      <c r="K54" s="143">
        <v>6198</v>
      </c>
      <c r="L54" s="145">
        <f t="shared" si="6"/>
        <v>0.47713625866050807</v>
      </c>
      <c r="M54" s="143">
        <v>6792</v>
      </c>
      <c r="N54" s="145">
        <f t="shared" si="7"/>
        <v>0.52286374133949187</v>
      </c>
      <c r="O54" s="148">
        <v>38</v>
      </c>
      <c r="P54" s="107">
        <v>29679</v>
      </c>
      <c r="Q54" s="107">
        <v>11983</v>
      </c>
      <c r="R54" s="108">
        <f t="shared" si="8"/>
        <v>0.40375349573772701</v>
      </c>
      <c r="S54" s="107">
        <v>9128</v>
      </c>
      <c r="T54" s="149">
        <f t="shared" si="9"/>
        <v>0.30755753226186866</v>
      </c>
      <c r="U54" s="143">
        <v>6198</v>
      </c>
      <c r="V54" s="107">
        <v>265</v>
      </c>
      <c r="W54" s="108">
        <f t="shared" si="10"/>
        <v>4.2755727654081963E-2</v>
      </c>
      <c r="X54" s="107">
        <v>4591</v>
      </c>
      <c r="Y54" s="150">
        <f t="shared" si="11"/>
        <v>0.74072281381090677</v>
      </c>
      <c r="Z54" s="107">
        <v>166</v>
      </c>
      <c r="AA54" s="108">
        <f t="shared" si="12"/>
        <v>2.6782833171990966E-2</v>
      </c>
      <c r="AB54" s="107">
        <v>480</v>
      </c>
      <c r="AC54" s="108">
        <f t="shared" si="13"/>
        <v>7.7444336882865436E-2</v>
      </c>
      <c r="AD54" s="107">
        <v>696</v>
      </c>
      <c r="AE54" s="108">
        <f t="shared" si="14"/>
        <v>0.11229428848015489</v>
      </c>
      <c r="AF54" s="107">
        <v>6792</v>
      </c>
      <c r="AG54" s="107">
        <v>301</v>
      </c>
      <c r="AH54" s="108">
        <f t="shared" si="15"/>
        <v>4.4316843345111899E-2</v>
      </c>
      <c r="AI54" s="107">
        <v>3641</v>
      </c>
      <c r="AJ54" s="108">
        <f t="shared" si="16"/>
        <v>0.53607184923439344</v>
      </c>
      <c r="AK54" s="107">
        <v>56</v>
      </c>
      <c r="AL54" s="108">
        <f t="shared" si="17"/>
        <v>8.2449941107184919E-3</v>
      </c>
      <c r="AM54" s="107">
        <v>1703</v>
      </c>
      <c r="AN54" s="108">
        <f t="shared" si="18"/>
        <v>0.25073616018845701</v>
      </c>
      <c r="AO54" s="107">
        <v>1091</v>
      </c>
      <c r="AP54" s="108">
        <f t="shared" si="19"/>
        <v>0.1606301531213192</v>
      </c>
      <c r="AQ54" s="107">
        <f t="shared" si="20"/>
        <v>12990</v>
      </c>
      <c r="AR54" s="107">
        <f t="shared" si="21"/>
        <v>566</v>
      </c>
      <c r="AS54" s="108">
        <f t="shared" si="22"/>
        <v>4.3571978444957658E-2</v>
      </c>
      <c r="AT54" s="107">
        <f t="shared" si="23"/>
        <v>8232</v>
      </c>
      <c r="AU54" s="108">
        <f t="shared" si="24"/>
        <v>0.6337182448036951</v>
      </c>
      <c r="AV54" s="107">
        <f t="shared" si="25"/>
        <v>222</v>
      </c>
      <c r="AW54" s="108">
        <f t="shared" si="26"/>
        <v>1.7090069284064664E-2</v>
      </c>
      <c r="AX54" s="107">
        <f t="shared" si="27"/>
        <v>2183</v>
      </c>
      <c r="AY54" s="108">
        <f t="shared" si="28"/>
        <v>0.16805234795996921</v>
      </c>
      <c r="AZ54" s="107">
        <f t="shared" si="29"/>
        <v>1787</v>
      </c>
      <c r="BA54" s="108">
        <f t="shared" si="30"/>
        <v>0.13756735950731333</v>
      </c>
      <c r="BB54" s="111">
        <v>6183</v>
      </c>
      <c r="BC54" s="111">
        <v>1882</v>
      </c>
      <c r="BD54" s="152">
        <f t="shared" si="31"/>
        <v>0.30438298560569305</v>
      </c>
      <c r="BE54" s="111">
        <v>6728</v>
      </c>
      <c r="BF54" s="111">
        <v>1564</v>
      </c>
      <c r="BG54" s="152">
        <f t="shared" si="0"/>
        <v>0.232461355529132</v>
      </c>
      <c r="BH54" s="153">
        <f t="shared" si="32"/>
        <v>12911</v>
      </c>
      <c r="BI54" s="153">
        <f t="shared" si="33"/>
        <v>3446</v>
      </c>
      <c r="BJ54" s="154">
        <f t="shared" si="34"/>
        <v>0.26690419022538919</v>
      </c>
      <c r="BK54" s="107">
        <v>12990</v>
      </c>
      <c r="BL54" s="107">
        <v>3394</v>
      </c>
      <c r="BM54" s="108">
        <f t="shared" si="87"/>
        <v>0.26127790608160123</v>
      </c>
      <c r="BN54" s="107">
        <v>6198</v>
      </c>
      <c r="BO54" s="107">
        <v>1028</v>
      </c>
      <c r="BP54" s="108">
        <f t="shared" si="35"/>
        <v>0.16585995482413682</v>
      </c>
      <c r="BQ54" s="107">
        <v>6792</v>
      </c>
      <c r="BR54" s="107">
        <v>2366</v>
      </c>
      <c r="BS54" s="108">
        <f t="shared" si="36"/>
        <v>0.34835100117785628</v>
      </c>
      <c r="BT54" s="113">
        <v>72040</v>
      </c>
      <c r="BU54" s="113">
        <v>13912</v>
      </c>
      <c r="BV54" s="156">
        <f t="shared" si="37"/>
        <v>0.19311493614658523</v>
      </c>
      <c r="BW54" s="156">
        <f t="shared" si="38"/>
        <v>1</v>
      </c>
      <c r="BX54" s="113">
        <v>64202</v>
      </c>
      <c r="BY54" s="113">
        <v>13450</v>
      </c>
      <c r="BZ54" s="156">
        <f t="shared" si="39"/>
        <v>0.20949503130743591</v>
      </c>
      <c r="CA54" s="156">
        <f t="shared" si="40"/>
        <v>0.96679125934445087</v>
      </c>
      <c r="CB54" s="113">
        <v>753</v>
      </c>
      <c r="CC54" s="113">
        <v>29</v>
      </c>
      <c r="CD54" s="156">
        <f t="shared" si="41"/>
        <v>3.851261620185923E-2</v>
      </c>
      <c r="CE54" s="156">
        <f t="shared" si="88"/>
        <v>2.0845313398504886E-3</v>
      </c>
      <c r="CF54" s="113">
        <v>266</v>
      </c>
      <c r="CG54" s="113">
        <v>49</v>
      </c>
      <c r="CH54" s="156">
        <f t="shared" si="42"/>
        <v>0.18421052631578946</v>
      </c>
      <c r="CI54" s="156">
        <f t="shared" si="43"/>
        <v>3.5221391604370327E-3</v>
      </c>
      <c r="CJ54" s="113">
        <v>2386</v>
      </c>
      <c r="CK54" s="113">
        <v>172</v>
      </c>
      <c r="CL54" s="161">
        <f t="shared" si="44"/>
        <v>7.2087175188600167E-2</v>
      </c>
      <c r="CM54" s="156">
        <f t="shared" si="45"/>
        <v>1.2363427257044278E-2</v>
      </c>
      <c r="CN54" s="113">
        <v>29</v>
      </c>
      <c r="CO54" s="113">
        <v>3</v>
      </c>
      <c r="CP54" s="161">
        <f t="shared" si="46"/>
        <v>0.10344827586206896</v>
      </c>
      <c r="CQ54" s="156">
        <f t="shared" si="47"/>
        <v>2.1564117308798159E-4</v>
      </c>
      <c r="CR54" s="105">
        <v>320</v>
      </c>
      <c r="CS54" s="105">
        <v>43</v>
      </c>
      <c r="CT54" s="106">
        <f t="shared" si="48"/>
        <v>0.13437499999999999</v>
      </c>
      <c r="CU54" s="106">
        <f t="shared" si="49"/>
        <v>3.0908568142610695E-3</v>
      </c>
      <c r="CV54" s="113">
        <v>1061</v>
      </c>
      <c r="CW54" s="113">
        <v>56</v>
      </c>
      <c r="CX54" s="156">
        <f t="shared" si="50"/>
        <v>5.2780395852968898E-2</v>
      </c>
      <c r="CY54" s="156">
        <f t="shared" si="51"/>
        <v>4.0253018976423235E-3</v>
      </c>
      <c r="CZ54" s="113">
        <v>3343</v>
      </c>
      <c r="DA54" s="113">
        <v>153</v>
      </c>
      <c r="DB54" s="156">
        <f t="shared" si="52"/>
        <v>4.5767274902781929E-2</v>
      </c>
      <c r="DC54" s="156">
        <f t="shared" si="89"/>
        <v>1.0997699827487061E-2</v>
      </c>
      <c r="DD54" s="107">
        <v>6198</v>
      </c>
      <c r="DE54" s="107">
        <v>391</v>
      </c>
      <c r="DF54" s="107">
        <v>2297</v>
      </c>
      <c r="DG54" s="107">
        <v>1582</v>
      </c>
      <c r="DH54" s="107">
        <v>1928</v>
      </c>
      <c r="DI54" s="149">
        <f t="shared" si="53"/>
        <v>6.3084866085834135E-2</v>
      </c>
      <c r="DJ54" s="149">
        <f t="shared" si="54"/>
        <v>0.37060342045821232</v>
      </c>
      <c r="DK54" s="149">
        <f t="shared" si="55"/>
        <v>0.56631171345595355</v>
      </c>
      <c r="DL54" s="107">
        <v>6792</v>
      </c>
      <c r="DM54" s="107">
        <v>383</v>
      </c>
      <c r="DN54" s="107">
        <v>2900</v>
      </c>
      <c r="DO54" s="107">
        <v>1691</v>
      </c>
      <c r="DP54" s="107">
        <v>1818</v>
      </c>
      <c r="DQ54" s="149">
        <f t="shared" si="56"/>
        <v>5.638987043580683E-2</v>
      </c>
      <c r="DR54" s="149">
        <f t="shared" si="57"/>
        <v>0.42697290930506476</v>
      </c>
      <c r="DS54" s="149">
        <f t="shared" si="58"/>
        <v>0.51663722025912839</v>
      </c>
      <c r="DT54" s="107">
        <f t="shared" si="59"/>
        <v>12990</v>
      </c>
      <c r="DU54" s="107">
        <f t="shared" si="60"/>
        <v>774</v>
      </c>
      <c r="DV54" s="107">
        <f t="shared" si="61"/>
        <v>5197</v>
      </c>
      <c r="DW54" s="107">
        <f t="shared" si="62"/>
        <v>3273</v>
      </c>
      <c r="DX54" s="107">
        <f t="shared" si="63"/>
        <v>3746</v>
      </c>
      <c r="DY54" s="108">
        <f t="shared" si="64"/>
        <v>5.9584295612009237E-2</v>
      </c>
      <c r="DZ54" s="108">
        <f t="shared" si="65"/>
        <v>0.40007698229407235</v>
      </c>
      <c r="EA54" s="108">
        <f t="shared" si="66"/>
        <v>0.54033872209391842</v>
      </c>
      <c r="EB54" s="107">
        <v>8431</v>
      </c>
      <c r="EC54" s="110">
        <v>587</v>
      </c>
      <c r="ED54" s="108">
        <f t="shared" si="67"/>
        <v>6.9624006642153957E-2</v>
      </c>
      <c r="EE54" s="107">
        <v>1217</v>
      </c>
      <c r="EF54" s="108">
        <f t="shared" si="67"/>
        <v>0.14434823864310284</v>
      </c>
      <c r="EG54" s="107">
        <v>2083</v>
      </c>
      <c r="EH54" s="108">
        <f t="shared" ref="EH54" si="426">EG54/$EB54</f>
        <v>0.2470644051713913</v>
      </c>
      <c r="EI54" s="107">
        <v>3287</v>
      </c>
      <c r="EJ54" s="108">
        <f t="shared" ref="EJ54" si="427">EI54/$EB54</f>
        <v>0.38987071521764916</v>
      </c>
      <c r="EK54" s="107">
        <v>5208</v>
      </c>
      <c r="EL54" s="108">
        <f t="shared" ref="EL54" si="428">EK54/$EB54</f>
        <v>0.61772031787451076</v>
      </c>
      <c r="EM54" s="107">
        <v>6379</v>
      </c>
      <c r="EN54" s="108">
        <f t="shared" ref="EN54" si="429">EM54/$EB54</f>
        <v>0.7566125014826236</v>
      </c>
      <c r="EO54" s="163">
        <v>76070</v>
      </c>
      <c r="EP54" s="163">
        <v>38317</v>
      </c>
      <c r="EQ54" s="163">
        <v>90399</v>
      </c>
      <c r="ER54" s="163">
        <v>96785</v>
      </c>
      <c r="ES54" s="163">
        <v>61133</v>
      </c>
      <c r="ET54" s="107">
        <v>6183</v>
      </c>
      <c r="EU54" s="107">
        <v>345</v>
      </c>
      <c r="EV54" s="108">
        <f t="shared" si="72"/>
        <v>5.5798156234837457E-2</v>
      </c>
      <c r="EW54" s="107">
        <v>6728</v>
      </c>
      <c r="EX54" s="107">
        <v>540</v>
      </c>
      <c r="EY54" s="108">
        <f t="shared" si="73"/>
        <v>8.0261593341260401E-2</v>
      </c>
      <c r="EZ54" s="107">
        <f t="shared" si="74"/>
        <v>12911</v>
      </c>
      <c r="FA54" s="107">
        <f t="shared" si="75"/>
        <v>885</v>
      </c>
      <c r="FB54" s="108">
        <f t="shared" si="76"/>
        <v>6.8546200913949348E-2</v>
      </c>
      <c r="FC54" s="107">
        <v>12911</v>
      </c>
      <c r="FD54" s="107">
        <v>885</v>
      </c>
      <c r="FE54" s="108">
        <f t="shared" si="77"/>
        <v>6.8546200913949348E-2</v>
      </c>
      <c r="FF54" s="107">
        <v>1662</v>
      </c>
      <c r="FG54" s="108">
        <f t="shared" si="77"/>
        <v>0.12872744171636588</v>
      </c>
      <c r="FH54" s="107">
        <v>2233</v>
      </c>
      <c r="FI54" s="108">
        <f t="shared" ref="FI54" si="430">FH54/$FC54</f>
        <v>0.17295329563937728</v>
      </c>
      <c r="FJ54" s="107">
        <v>2557</v>
      </c>
      <c r="FK54" s="108">
        <f t="shared" ref="FK54" si="431">FJ54/$FC54</f>
        <v>0.19804817597397567</v>
      </c>
      <c r="FL54" s="107">
        <v>5197</v>
      </c>
      <c r="FM54" s="108">
        <f t="shared" ref="FM54" si="432">FL54/$FC54</f>
        <v>0.40252497870033305</v>
      </c>
      <c r="FN54" s="107">
        <v>801</v>
      </c>
      <c r="FO54" s="108">
        <v>0.20386866887248664</v>
      </c>
      <c r="FP54" s="107">
        <v>35</v>
      </c>
      <c r="FQ54" s="108">
        <v>8.9081191142784417E-3</v>
      </c>
      <c r="FR54" s="107">
        <v>170</v>
      </c>
      <c r="FS54" s="108">
        <v>7.4922873512560606E-2</v>
      </c>
      <c r="FT54" s="110">
        <v>0</v>
      </c>
      <c r="FU54" s="108">
        <v>0</v>
      </c>
      <c r="FV54" s="107">
        <v>751</v>
      </c>
      <c r="FW54" s="108">
        <v>0.18760929303022733</v>
      </c>
      <c r="FX54" s="107">
        <v>61</v>
      </c>
      <c r="FY54" s="108">
        <v>1.5238571071696228E-2</v>
      </c>
      <c r="FZ54" s="107">
        <v>106</v>
      </c>
      <c r="GA54" s="108">
        <v>3.8006453926138398E-2</v>
      </c>
      <c r="GB54" s="107">
        <v>0</v>
      </c>
      <c r="GC54" s="108">
        <v>0</v>
      </c>
      <c r="GD54" s="107">
        <v>1828</v>
      </c>
      <c r="GE54" s="117">
        <v>0.14072363356428022</v>
      </c>
      <c r="GF54" s="107">
        <v>96</v>
      </c>
      <c r="GG54" s="117">
        <v>7.3903002309468821E-3</v>
      </c>
      <c r="GH54" s="107">
        <v>8431</v>
      </c>
      <c r="GI54" s="107">
        <v>1371</v>
      </c>
      <c r="GJ54" s="108">
        <f t="shared" si="81"/>
        <v>0.16261416202111256</v>
      </c>
      <c r="GK54" s="107">
        <v>408</v>
      </c>
      <c r="GL54" s="108">
        <f t="shared" si="82"/>
        <v>0.2975929978118162</v>
      </c>
      <c r="GM54" s="107">
        <v>793</v>
      </c>
      <c r="GN54" s="108">
        <f t="shared" si="83"/>
        <v>0.57840991976659373</v>
      </c>
      <c r="GO54" s="107">
        <v>7060</v>
      </c>
      <c r="GP54" s="108">
        <f t="shared" si="84"/>
        <v>0.83738583797888744</v>
      </c>
      <c r="GQ54" s="107">
        <v>5818</v>
      </c>
      <c r="GR54" s="108">
        <f t="shared" si="85"/>
        <v>0.82407932011331442</v>
      </c>
      <c r="GS54" s="107">
        <v>1223</v>
      </c>
      <c r="GT54" s="108">
        <f t="shared" si="86"/>
        <v>0.17322946175637394</v>
      </c>
    </row>
    <row r="55" spans="1:202" x14ac:dyDescent="0.25">
      <c r="A55" s="104" t="s">
        <v>227</v>
      </c>
      <c r="B55" s="143">
        <v>14092</v>
      </c>
      <c r="C55" s="143">
        <v>5461</v>
      </c>
      <c r="D55" s="143">
        <v>4015</v>
      </c>
      <c r="E55" s="143">
        <v>1532</v>
      </c>
      <c r="F55" s="143">
        <v>457</v>
      </c>
      <c r="G55" s="144">
        <f t="shared" si="2"/>
        <v>0.38752483678682942</v>
      </c>
      <c r="H55" s="144">
        <f t="shared" si="3"/>
        <v>0.28491342605733749</v>
      </c>
      <c r="I55" s="144">
        <f t="shared" si="4"/>
        <v>0.10871416406471757</v>
      </c>
      <c r="J55" s="144">
        <f t="shared" si="5"/>
        <v>3.2429747374396821E-2</v>
      </c>
      <c r="K55" s="143">
        <v>2027</v>
      </c>
      <c r="L55" s="145">
        <f t="shared" si="6"/>
        <v>0.50485678704856785</v>
      </c>
      <c r="M55" s="143">
        <v>1988</v>
      </c>
      <c r="N55" s="145">
        <f t="shared" si="7"/>
        <v>0.49514321295143215</v>
      </c>
      <c r="O55" s="148">
        <v>52.6</v>
      </c>
      <c r="P55" s="107">
        <v>6539</v>
      </c>
      <c r="Q55" s="107">
        <v>3794</v>
      </c>
      <c r="R55" s="108">
        <f t="shared" si="8"/>
        <v>0.58021104144364577</v>
      </c>
      <c r="S55" s="107">
        <v>2829</v>
      </c>
      <c r="T55" s="149">
        <f t="shared" si="9"/>
        <v>0.43263495947392566</v>
      </c>
      <c r="U55" s="143">
        <v>2027</v>
      </c>
      <c r="V55" s="107">
        <v>151</v>
      </c>
      <c r="W55" s="108">
        <f t="shared" si="10"/>
        <v>7.4494326591021218E-2</v>
      </c>
      <c r="X55" s="107">
        <v>1276</v>
      </c>
      <c r="Y55" s="150">
        <f t="shared" si="11"/>
        <v>0.62950172668968918</v>
      </c>
      <c r="Z55" s="107">
        <v>43</v>
      </c>
      <c r="AA55" s="108">
        <f t="shared" si="12"/>
        <v>2.1213616181549086E-2</v>
      </c>
      <c r="AB55" s="107">
        <v>272</v>
      </c>
      <c r="AC55" s="108">
        <f t="shared" si="13"/>
        <v>0.13418845584607794</v>
      </c>
      <c r="AD55" s="107">
        <v>285</v>
      </c>
      <c r="AE55" s="108">
        <f t="shared" si="14"/>
        <v>0.14060187469166255</v>
      </c>
      <c r="AF55" s="107">
        <v>1988</v>
      </c>
      <c r="AG55" s="107">
        <v>46</v>
      </c>
      <c r="AH55" s="108">
        <f t="shared" si="15"/>
        <v>2.3138832997987926E-2</v>
      </c>
      <c r="AI55" s="107">
        <v>984</v>
      </c>
      <c r="AJ55" s="108">
        <f t="shared" si="16"/>
        <v>0.49496981891348091</v>
      </c>
      <c r="AK55" s="107">
        <v>75</v>
      </c>
      <c r="AL55" s="108">
        <f t="shared" si="17"/>
        <v>3.7726358148893357E-2</v>
      </c>
      <c r="AM55" s="107">
        <v>658</v>
      </c>
      <c r="AN55" s="108">
        <f t="shared" si="18"/>
        <v>0.33098591549295775</v>
      </c>
      <c r="AO55" s="107">
        <v>225</v>
      </c>
      <c r="AP55" s="108">
        <f t="shared" si="19"/>
        <v>0.11317907444668009</v>
      </c>
      <c r="AQ55" s="107">
        <f t="shared" si="20"/>
        <v>4015</v>
      </c>
      <c r="AR55" s="107">
        <f t="shared" si="21"/>
        <v>197</v>
      </c>
      <c r="AS55" s="108">
        <f t="shared" si="22"/>
        <v>4.9066002490660024E-2</v>
      </c>
      <c r="AT55" s="107">
        <f t="shared" si="23"/>
        <v>2260</v>
      </c>
      <c r="AU55" s="108">
        <f t="shared" si="24"/>
        <v>0.56288916562889169</v>
      </c>
      <c r="AV55" s="107">
        <f t="shared" si="25"/>
        <v>118</v>
      </c>
      <c r="AW55" s="108">
        <f t="shared" si="26"/>
        <v>2.9389788293897882E-2</v>
      </c>
      <c r="AX55" s="107">
        <f t="shared" si="27"/>
        <v>930</v>
      </c>
      <c r="AY55" s="108">
        <f t="shared" si="28"/>
        <v>0.23163138231631383</v>
      </c>
      <c r="AZ55" s="107">
        <f t="shared" si="29"/>
        <v>510</v>
      </c>
      <c r="BA55" s="108">
        <f t="shared" si="30"/>
        <v>0.12702366127023662</v>
      </c>
      <c r="BB55" s="111">
        <v>1985</v>
      </c>
      <c r="BC55" s="111">
        <v>721</v>
      </c>
      <c r="BD55" s="152">
        <f t="shared" si="31"/>
        <v>0.36322418136020151</v>
      </c>
      <c r="BE55" s="111">
        <v>1928</v>
      </c>
      <c r="BF55" s="111">
        <v>540</v>
      </c>
      <c r="BG55" s="152">
        <f t="shared" si="0"/>
        <v>0.28008298755186722</v>
      </c>
      <c r="BH55" s="153">
        <f t="shared" si="32"/>
        <v>3913</v>
      </c>
      <c r="BI55" s="153">
        <f t="shared" si="33"/>
        <v>1261</v>
      </c>
      <c r="BJ55" s="154">
        <f t="shared" si="34"/>
        <v>0.32225913621262459</v>
      </c>
      <c r="BK55" s="107">
        <v>4015</v>
      </c>
      <c r="BL55" s="107">
        <v>1290</v>
      </c>
      <c r="BM55" s="108">
        <f t="shared" si="87"/>
        <v>0.32129514321295144</v>
      </c>
      <c r="BN55" s="107">
        <v>2027</v>
      </c>
      <c r="BO55" s="107">
        <v>551</v>
      </c>
      <c r="BP55" s="108">
        <f t="shared" si="35"/>
        <v>0.27183029107054762</v>
      </c>
      <c r="BQ55" s="107">
        <v>1988</v>
      </c>
      <c r="BR55" s="107">
        <v>739</v>
      </c>
      <c r="BS55" s="108">
        <f t="shared" si="36"/>
        <v>0.3717303822937626</v>
      </c>
      <c r="BT55" s="113">
        <v>14087</v>
      </c>
      <c r="BU55" s="113">
        <v>4245</v>
      </c>
      <c r="BV55" s="156">
        <f t="shared" si="37"/>
        <v>0.30134166252573297</v>
      </c>
      <c r="BW55" s="156">
        <f t="shared" si="38"/>
        <v>1</v>
      </c>
      <c r="BX55" s="113">
        <v>13191</v>
      </c>
      <c r="BY55" s="113">
        <v>4140</v>
      </c>
      <c r="BZ55" s="156">
        <f t="shared" si="39"/>
        <v>0.31385035251307708</v>
      </c>
      <c r="CA55" s="156">
        <f t="shared" si="40"/>
        <v>0.97526501766784457</v>
      </c>
      <c r="CB55" s="113">
        <v>86</v>
      </c>
      <c r="CC55" s="113">
        <v>11</v>
      </c>
      <c r="CD55" s="156">
        <f t="shared" si="41"/>
        <v>0.12790697674418605</v>
      </c>
      <c r="CE55" s="156">
        <f t="shared" si="88"/>
        <v>2.5912838633686689E-3</v>
      </c>
      <c r="CF55" s="113">
        <v>97</v>
      </c>
      <c r="CG55" s="113">
        <v>18</v>
      </c>
      <c r="CH55" s="156">
        <f t="shared" si="42"/>
        <v>0.18556701030927836</v>
      </c>
      <c r="CI55" s="156">
        <f t="shared" si="43"/>
        <v>4.2402826855123671E-3</v>
      </c>
      <c r="CJ55" s="113">
        <v>103</v>
      </c>
      <c r="CK55" s="113">
        <v>14</v>
      </c>
      <c r="CL55" s="161">
        <f t="shared" si="44"/>
        <v>0.13592233009708737</v>
      </c>
      <c r="CM55" s="156">
        <f t="shared" si="45"/>
        <v>3.2979976442873969E-3</v>
      </c>
      <c r="CN55" s="113">
        <v>142</v>
      </c>
      <c r="CO55" s="113">
        <v>5</v>
      </c>
      <c r="CP55" s="161">
        <f t="shared" si="46"/>
        <v>3.5211267605633804E-2</v>
      </c>
      <c r="CQ55" s="156">
        <f t="shared" si="47"/>
        <v>1.1778563015312131E-3</v>
      </c>
      <c r="CR55" s="105">
        <v>8</v>
      </c>
      <c r="CS55" s="105">
        <v>1</v>
      </c>
      <c r="CT55" s="106">
        <f t="shared" si="48"/>
        <v>0.125</v>
      </c>
      <c r="CU55" s="106">
        <f t="shared" si="49"/>
        <v>2.3557126030624264E-4</v>
      </c>
      <c r="CV55" s="113">
        <v>198</v>
      </c>
      <c r="CW55" s="113">
        <v>33</v>
      </c>
      <c r="CX55" s="156">
        <f t="shared" si="50"/>
        <v>0.16666666666666666</v>
      </c>
      <c r="CY55" s="156">
        <f t="shared" si="51"/>
        <v>7.7738515901060075E-3</v>
      </c>
      <c r="CZ55" s="113">
        <v>270</v>
      </c>
      <c r="DA55" s="113">
        <v>24</v>
      </c>
      <c r="DB55" s="156">
        <f t="shared" si="52"/>
        <v>8.8888888888888892E-2</v>
      </c>
      <c r="DC55" s="156">
        <f t="shared" si="89"/>
        <v>5.6537102473498231E-3</v>
      </c>
      <c r="DD55" s="107">
        <v>2027</v>
      </c>
      <c r="DE55" s="107">
        <v>196</v>
      </c>
      <c r="DF55" s="107">
        <v>1005</v>
      </c>
      <c r="DG55" s="107">
        <v>505</v>
      </c>
      <c r="DH55" s="107">
        <v>321</v>
      </c>
      <c r="DI55" s="149">
        <f t="shared" si="53"/>
        <v>9.669462259496793E-2</v>
      </c>
      <c r="DJ55" s="149">
        <f t="shared" si="54"/>
        <v>0.49580661075481008</v>
      </c>
      <c r="DK55" s="149">
        <f t="shared" si="55"/>
        <v>0.407498766650222</v>
      </c>
      <c r="DL55" s="107">
        <v>1988</v>
      </c>
      <c r="DM55" s="107">
        <v>112</v>
      </c>
      <c r="DN55" s="107">
        <v>1091</v>
      </c>
      <c r="DO55" s="107">
        <v>527</v>
      </c>
      <c r="DP55" s="107">
        <v>258</v>
      </c>
      <c r="DQ55" s="149">
        <f t="shared" si="56"/>
        <v>5.6338028169014086E-2</v>
      </c>
      <c r="DR55" s="149">
        <f t="shared" si="57"/>
        <v>0.54879275653923543</v>
      </c>
      <c r="DS55" s="149">
        <f t="shared" si="58"/>
        <v>0.39486921529175051</v>
      </c>
      <c r="DT55" s="107">
        <f t="shared" si="59"/>
        <v>4015</v>
      </c>
      <c r="DU55" s="107">
        <f t="shared" si="60"/>
        <v>308</v>
      </c>
      <c r="DV55" s="107">
        <f t="shared" si="61"/>
        <v>2096</v>
      </c>
      <c r="DW55" s="107">
        <f t="shared" si="62"/>
        <v>1032</v>
      </c>
      <c r="DX55" s="107">
        <f t="shared" si="63"/>
        <v>579</v>
      </c>
      <c r="DY55" s="108">
        <f t="shared" si="64"/>
        <v>7.6712328767123292E-2</v>
      </c>
      <c r="DZ55" s="108">
        <f t="shared" si="65"/>
        <v>0.52204234122042337</v>
      </c>
      <c r="EA55" s="108">
        <f t="shared" si="66"/>
        <v>0.40124533001245333</v>
      </c>
      <c r="EB55" s="107">
        <v>2653</v>
      </c>
      <c r="EC55" s="110">
        <v>210</v>
      </c>
      <c r="ED55" s="108">
        <f t="shared" si="67"/>
        <v>7.9155672823219003E-2</v>
      </c>
      <c r="EE55" s="107">
        <v>550</v>
      </c>
      <c r="EF55" s="108">
        <f t="shared" si="67"/>
        <v>0.20731247644176404</v>
      </c>
      <c r="EG55" s="107">
        <v>1091</v>
      </c>
      <c r="EH55" s="108">
        <f t="shared" ref="EH55" si="433">EG55/$EB55</f>
        <v>0.41123256690539012</v>
      </c>
      <c r="EI55" s="107">
        <v>1490</v>
      </c>
      <c r="EJ55" s="108">
        <f t="shared" ref="EJ55" si="434">EI55/$EB55</f>
        <v>0.56162834526950622</v>
      </c>
      <c r="EK55" s="107">
        <v>2021</v>
      </c>
      <c r="EL55" s="108">
        <f t="shared" ref="EL55" si="435">EK55/$EB55</f>
        <v>0.7617791179796457</v>
      </c>
      <c r="EM55" s="107">
        <v>2303</v>
      </c>
      <c r="EN55" s="108">
        <f t="shared" ref="EN55" si="436">EM55/$EB55</f>
        <v>0.86807387862796836</v>
      </c>
      <c r="EO55" s="163">
        <v>60546</v>
      </c>
      <c r="EP55" s="163">
        <v>44792</v>
      </c>
      <c r="EQ55" s="163">
        <v>79744</v>
      </c>
      <c r="ER55" s="163">
        <v>70532</v>
      </c>
      <c r="ES55" s="163">
        <v>43782</v>
      </c>
      <c r="ET55" s="107">
        <v>1985</v>
      </c>
      <c r="EU55" s="107">
        <v>104</v>
      </c>
      <c r="EV55" s="108">
        <f t="shared" si="72"/>
        <v>5.2392947103274558E-2</v>
      </c>
      <c r="EW55" s="107">
        <v>1928</v>
      </c>
      <c r="EX55" s="107">
        <v>186</v>
      </c>
      <c r="EY55" s="108">
        <f t="shared" si="73"/>
        <v>9.6473029045643158E-2</v>
      </c>
      <c r="EZ55" s="107">
        <f t="shared" si="74"/>
        <v>3913</v>
      </c>
      <c r="FA55" s="107">
        <f t="shared" si="75"/>
        <v>290</v>
      </c>
      <c r="FB55" s="108">
        <f t="shared" si="76"/>
        <v>7.4111934577050856E-2</v>
      </c>
      <c r="FC55" s="107">
        <v>3913</v>
      </c>
      <c r="FD55" s="107">
        <v>290</v>
      </c>
      <c r="FE55" s="108">
        <f t="shared" si="77"/>
        <v>7.4111934577050856E-2</v>
      </c>
      <c r="FF55" s="107">
        <v>605</v>
      </c>
      <c r="FG55" s="108">
        <f t="shared" si="77"/>
        <v>0.1546128290314337</v>
      </c>
      <c r="FH55" s="107">
        <v>1071</v>
      </c>
      <c r="FI55" s="108">
        <f t="shared" ref="FI55" si="437">FH55/$FC55</f>
        <v>0.27370304114490163</v>
      </c>
      <c r="FJ55" s="107">
        <v>1301</v>
      </c>
      <c r="FK55" s="108">
        <f t="shared" ref="FK55" si="438">FJ55/$FC55</f>
        <v>0.33248147201635575</v>
      </c>
      <c r="FL55" s="107">
        <v>2211</v>
      </c>
      <c r="FM55" s="108">
        <f t="shared" ref="FM55" si="439">FL55/$FC55</f>
        <v>0.5650396115512395</v>
      </c>
      <c r="FN55" s="107">
        <v>198</v>
      </c>
      <c r="FO55" s="108">
        <v>0.15184049079754602</v>
      </c>
      <c r="FP55" s="107">
        <v>2</v>
      </c>
      <c r="FQ55" s="108">
        <v>1.5337423312883436E-3</v>
      </c>
      <c r="FR55" s="107">
        <v>38</v>
      </c>
      <c r="FS55" s="108">
        <v>5.2558782849239281E-2</v>
      </c>
      <c r="FT55" s="110">
        <v>0</v>
      </c>
      <c r="FU55" s="108">
        <v>0</v>
      </c>
      <c r="FV55" s="107">
        <v>265</v>
      </c>
      <c r="FW55" s="108">
        <v>0.22476675148430875</v>
      </c>
      <c r="FX55" s="107">
        <v>9</v>
      </c>
      <c r="FY55" s="108">
        <v>7.6335877862595417E-3</v>
      </c>
      <c r="FZ55" s="107">
        <v>28</v>
      </c>
      <c r="GA55" s="108">
        <v>3.4610630407911E-2</v>
      </c>
      <c r="GB55" s="107">
        <v>0</v>
      </c>
      <c r="GC55" s="108">
        <v>0</v>
      </c>
      <c r="GD55" s="107">
        <v>529</v>
      </c>
      <c r="GE55" s="117">
        <v>0.13175591531755915</v>
      </c>
      <c r="GF55" s="107">
        <v>11</v>
      </c>
      <c r="GG55" s="117">
        <v>2.7397260273972603E-3</v>
      </c>
      <c r="GH55" s="107">
        <v>2653</v>
      </c>
      <c r="GI55" s="107">
        <v>417</v>
      </c>
      <c r="GJ55" s="108">
        <f t="shared" si="81"/>
        <v>0.15718055032039202</v>
      </c>
      <c r="GK55" s="107">
        <v>205</v>
      </c>
      <c r="GL55" s="108">
        <f t="shared" si="82"/>
        <v>0.49160671462829736</v>
      </c>
      <c r="GM55" s="107">
        <v>150</v>
      </c>
      <c r="GN55" s="108">
        <f t="shared" si="83"/>
        <v>0.35971223021582732</v>
      </c>
      <c r="GO55" s="107">
        <v>2236</v>
      </c>
      <c r="GP55" s="108">
        <f t="shared" si="84"/>
        <v>0.84281944967960798</v>
      </c>
      <c r="GQ55" s="107">
        <v>1763</v>
      </c>
      <c r="GR55" s="108">
        <f t="shared" si="85"/>
        <v>0.78846153846153844</v>
      </c>
      <c r="GS55" s="107">
        <v>460</v>
      </c>
      <c r="GT55" s="108">
        <f t="shared" si="86"/>
        <v>0.20572450805008943</v>
      </c>
    </row>
    <row r="56" spans="1:202" x14ac:dyDescent="0.25">
      <c r="A56" s="104" t="s">
        <v>228</v>
      </c>
      <c r="B56" s="143">
        <v>197532</v>
      </c>
      <c r="C56" s="143">
        <v>49988</v>
      </c>
      <c r="D56" s="143">
        <v>35802</v>
      </c>
      <c r="E56" s="143">
        <v>14169</v>
      </c>
      <c r="F56" s="143">
        <v>4165</v>
      </c>
      <c r="G56" s="144">
        <f t="shared" si="2"/>
        <v>0.25306279488892941</v>
      </c>
      <c r="H56" s="144">
        <f t="shared" si="3"/>
        <v>0.18124658283214873</v>
      </c>
      <c r="I56" s="144">
        <f t="shared" si="4"/>
        <v>7.1730150051637201E-2</v>
      </c>
      <c r="J56" s="144">
        <f t="shared" si="5"/>
        <v>2.1085191260150255E-2</v>
      </c>
      <c r="K56" s="143">
        <v>16398</v>
      </c>
      <c r="L56" s="145">
        <f t="shared" si="6"/>
        <v>0.45801910507792859</v>
      </c>
      <c r="M56" s="143">
        <v>19404</v>
      </c>
      <c r="N56" s="145">
        <f t="shared" si="7"/>
        <v>0.54198089492207135</v>
      </c>
      <c r="O56" s="148">
        <v>40.5</v>
      </c>
      <c r="P56" s="107">
        <v>80406</v>
      </c>
      <c r="Q56" s="107">
        <v>33608</v>
      </c>
      <c r="R56" s="108">
        <f t="shared" si="8"/>
        <v>0.41797875780414395</v>
      </c>
      <c r="S56" s="107">
        <v>25152</v>
      </c>
      <c r="T56" s="149">
        <f t="shared" si="9"/>
        <v>0.31281247668084472</v>
      </c>
      <c r="U56" s="143">
        <v>16398</v>
      </c>
      <c r="V56" s="107">
        <v>1065</v>
      </c>
      <c r="W56" s="108">
        <f t="shared" si="10"/>
        <v>6.4946944749359678E-2</v>
      </c>
      <c r="X56" s="107">
        <v>10261</v>
      </c>
      <c r="Y56" s="150">
        <f t="shared" si="11"/>
        <v>0.62574704232223444</v>
      </c>
      <c r="Z56" s="107">
        <v>493</v>
      </c>
      <c r="AA56" s="108">
        <f t="shared" si="12"/>
        <v>3.0064642029515795E-2</v>
      </c>
      <c r="AB56" s="107">
        <v>2054</v>
      </c>
      <c r="AC56" s="108">
        <f t="shared" si="13"/>
        <v>0.12525917794853031</v>
      </c>
      <c r="AD56" s="107">
        <v>2525</v>
      </c>
      <c r="AE56" s="108">
        <f t="shared" si="14"/>
        <v>0.15398219295035981</v>
      </c>
      <c r="AF56" s="107">
        <v>19404</v>
      </c>
      <c r="AG56" s="107">
        <v>1257</v>
      </c>
      <c r="AH56" s="108">
        <f t="shared" si="15"/>
        <v>6.47804576376005E-2</v>
      </c>
      <c r="AI56" s="107">
        <v>8688</v>
      </c>
      <c r="AJ56" s="108">
        <f t="shared" si="16"/>
        <v>0.44774273345701915</v>
      </c>
      <c r="AK56" s="107">
        <v>402</v>
      </c>
      <c r="AL56" s="108">
        <f t="shared" si="17"/>
        <v>2.0717377860235003E-2</v>
      </c>
      <c r="AM56" s="107">
        <v>5987</v>
      </c>
      <c r="AN56" s="108">
        <f t="shared" si="18"/>
        <v>0.30854462997320142</v>
      </c>
      <c r="AO56" s="107">
        <v>3070</v>
      </c>
      <c r="AP56" s="108">
        <f t="shared" si="19"/>
        <v>0.15821480107194394</v>
      </c>
      <c r="AQ56" s="107">
        <f t="shared" si="20"/>
        <v>35802</v>
      </c>
      <c r="AR56" s="107">
        <f t="shared" si="21"/>
        <v>2322</v>
      </c>
      <c r="AS56" s="108">
        <f t="shared" si="22"/>
        <v>6.485671191553545E-2</v>
      </c>
      <c r="AT56" s="107">
        <f t="shared" si="23"/>
        <v>18949</v>
      </c>
      <c r="AU56" s="108">
        <f t="shared" si="24"/>
        <v>0.52927210770348021</v>
      </c>
      <c r="AV56" s="107">
        <f t="shared" si="25"/>
        <v>895</v>
      </c>
      <c r="AW56" s="108">
        <f t="shared" si="26"/>
        <v>2.499860342997598E-2</v>
      </c>
      <c r="AX56" s="107">
        <f t="shared" si="27"/>
        <v>8041</v>
      </c>
      <c r="AY56" s="108">
        <f t="shared" si="28"/>
        <v>0.22459639126305794</v>
      </c>
      <c r="AZ56" s="107">
        <f t="shared" si="29"/>
        <v>5595</v>
      </c>
      <c r="BA56" s="108">
        <f t="shared" si="30"/>
        <v>0.1562761856879504</v>
      </c>
      <c r="BB56" s="111">
        <v>15678</v>
      </c>
      <c r="BC56" s="111">
        <v>4972</v>
      </c>
      <c r="BD56" s="152">
        <f t="shared" si="31"/>
        <v>0.31713228728154103</v>
      </c>
      <c r="BE56" s="111">
        <v>18699</v>
      </c>
      <c r="BF56" s="111">
        <v>5541</v>
      </c>
      <c r="BG56" s="152">
        <f t="shared" si="0"/>
        <v>0.29632600673832826</v>
      </c>
      <c r="BH56" s="153">
        <f t="shared" si="32"/>
        <v>34377</v>
      </c>
      <c r="BI56" s="153">
        <f t="shared" si="33"/>
        <v>10513</v>
      </c>
      <c r="BJ56" s="154">
        <f t="shared" si="34"/>
        <v>0.30581493440381652</v>
      </c>
      <c r="BK56" s="107">
        <v>35802</v>
      </c>
      <c r="BL56" s="107">
        <v>10429</v>
      </c>
      <c r="BM56" s="108">
        <f t="shared" si="87"/>
        <v>0.29129657561030109</v>
      </c>
      <c r="BN56" s="107">
        <v>16398</v>
      </c>
      <c r="BO56" s="107">
        <v>3324</v>
      </c>
      <c r="BP56" s="108">
        <f t="shared" si="35"/>
        <v>0.20270764727405782</v>
      </c>
      <c r="BQ56" s="107">
        <v>19404</v>
      </c>
      <c r="BR56" s="107">
        <v>7105</v>
      </c>
      <c r="BS56" s="108">
        <f t="shared" si="36"/>
        <v>0.36616161616161619</v>
      </c>
      <c r="BT56" s="113">
        <v>198651</v>
      </c>
      <c r="BU56" s="113">
        <v>37818</v>
      </c>
      <c r="BV56" s="156">
        <f t="shared" si="37"/>
        <v>0.19037407312321608</v>
      </c>
      <c r="BW56" s="156">
        <f t="shared" si="38"/>
        <v>1</v>
      </c>
      <c r="BX56" s="113">
        <v>136316</v>
      </c>
      <c r="BY56" s="113">
        <v>32922</v>
      </c>
      <c r="BZ56" s="156">
        <f t="shared" si="39"/>
        <v>0.24151236832066669</v>
      </c>
      <c r="CA56" s="156">
        <f t="shared" si="40"/>
        <v>0.87053783912422655</v>
      </c>
      <c r="CB56" s="113">
        <v>21716</v>
      </c>
      <c r="CC56" s="113">
        <v>2309</v>
      </c>
      <c r="CD56" s="156">
        <f t="shared" si="41"/>
        <v>0.1063271320685209</v>
      </c>
      <c r="CE56" s="156">
        <f t="shared" si="88"/>
        <v>6.1055581997990375E-2</v>
      </c>
      <c r="CF56" s="113">
        <v>673</v>
      </c>
      <c r="CG56" s="113">
        <v>124</v>
      </c>
      <c r="CH56" s="156">
        <f t="shared" si="42"/>
        <v>0.18424962852897475</v>
      </c>
      <c r="CI56" s="156">
        <f t="shared" si="43"/>
        <v>3.2788619176053733E-3</v>
      </c>
      <c r="CJ56" s="113">
        <v>3005</v>
      </c>
      <c r="CK56" s="113">
        <v>347</v>
      </c>
      <c r="CL56" s="161">
        <f t="shared" si="44"/>
        <v>0.11547420965058236</v>
      </c>
      <c r="CM56" s="156">
        <f t="shared" si="45"/>
        <v>9.1755248823311656E-3</v>
      </c>
      <c r="CN56" s="113">
        <v>69</v>
      </c>
      <c r="CO56" s="113">
        <v>9</v>
      </c>
      <c r="CP56" s="161">
        <f t="shared" si="46"/>
        <v>0.13043478260869565</v>
      </c>
      <c r="CQ56" s="156">
        <f t="shared" si="47"/>
        <v>2.3798191337458352E-4</v>
      </c>
      <c r="CR56" s="105">
        <v>7410</v>
      </c>
      <c r="CS56" s="105">
        <v>287</v>
      </c>
      <c r="CT56" s="106">
        <f t="shared" si="48"/>
        <v>3.8731443994601891E-2</v>
      </c>
      <c r="CU56" s="106">
        <f t="shared" si="49"/>
        <v>7.5889787931672746E-3</v>
      </c>
      <c r="CV56" s="113">
        <v>5157</v>
      </c>
      <c r="CW56" s="113">
        <v>171</v>
      </c>
      <c r="CX56" s="156">
        <f t="shared" si="50"/>
        <v>3.3158813263525308E-2</v>
      </c>
      <c r="CY56" s="156">
        <f t="shared" si="51"/>
        <v>4.521656354117087E-3</v>
      </c>
      <c r="CZ56" s="113">
        <v>31715</v>
      </c>
      <c r="DA56" s="113">
        <v>1936</v>
      </c>
      <c r="DB56" s="156">
        <f t="shared" si="52"/>
        <v>6.1043670187608388E-2</v>
      </c>
      <c r="DC56" s="156">
        <f t="shared" si="89"/>
        <v>5.1192553810354854E-2</v>
      </c>
      <c r="DD56" s="107">
        <v>16398</v>
      </c>
      <c r="DE56" s="107">
        <v>1509</v>
      </c>
      <c r="DF56" s="107">
        <v>5632</v>
      </c>
      <c r="DG56" s="107">
        <v>4809</v>
      </c>
      <c r="DH56" s="107">
        <v>4448</v>
      </c>
      <c r="DI56" s="149">
        <f t="shared" si="53"/>
        <v>9.2023417489937795E-2</v>
      </c>
      <c r="DJ56" s="149">
        <f t="shared" si="54"/>
        <v>0.34345651908769365</v>
      </c>
      <c r="DK56" s="149">
        <f t="shared" si="55"/>
        <v>0.5645200634223686</v>
      </c>
      <c r="DL56" s="107">
        <v>19404</v>
      </c>
      <c r="DM56" s="107">
        <v>1584</v>
      </c>
      <c r="DN56" s="107">
        <v>6542</v>
      </c>
      <c r="DO56" s="107">
        <v>5454</v>
      </c>
      <c r="DP56" s="107">
        <v>5824</v>
      </c>
      <c r="DQ56" s="149">
        <f t="shared" si="56"/>
        <v>8.1632653061224483E-2</v>
      </c>
      <c r="DR56" s="149">
        <f t="shared" si="57"/>
        <v>0.33714698000412285</v>
      </c>
      <c r="DS56" s="149">
        <f t="shared" si="58"/>
        <v>0.58122036693465262</v>
      </c>
      <c r="DT56" s="107">
        <f t="shared" si="59"/>
        <v>35802</v>
      </c>
      <c r="DU56" s="107">
        <f t="shared" si="60"/>
        <v>3093</v>
      </c>
      <c r="DV56" s="107">
        <f t="shared" si="61"/>
        <v>12174</v>
      </c>
      <c r="DW56" s="107">
        <f t="shared" si="62"/>
        <v>10263</v>
      </c>
      <c r="DX56" s="107">
        <f t="shared" si="63"/>
        <v>10272</v>
      </c>
      <c r="DY56" s="108">
        <f t="shared" si="64"/>
        <v>8.6391821685939327E-2</v>
      </c>
      <c r="DZ56" s="108">
        <f t="shared" si="65"/>
        <v>0.34003686944863415</v>
      </c>
      <c r="EA56" s="108">
        <f t="shared" si="66"/>
        <v>0.57357130886542651</v>
      </c>
      <c r="EB56" s="107">
        <v>22734</v>
      </c>
      <c r="EC56" s="110">
        <v>1971</v>
      </c>
      <c r="ED56" s="108">
        <f t="shared" si="67"/>
        <v>8.6698337292161518E-2</v>
      </c>
      <c r="EE56" s="107">
        <v>3938</v>
      </c>
      <c r="EF56" s="108">
        <f t="shared" si="67"/>
        <v>0.17322072666490718</v>
      </c>
      <c r="EG56" s="107">
        <v>6499</v>
      </c>
      <c r="EH56" s="108">
        <f t="shared" ref="EH56" si="440">EG56/$EB56</f>
        <v>0.28587138207090701</v>
      </c>
      <c r="EI56" s="107">
        <v>9274</v>
      </c>
      <c r="EJ56" s="108">
        <f t="shared" ref="EJ56" si="441">EI56/$EB56</f>
        <v>0.40793525116565499</v>
      </c>
      <c r="EK56" s="107">
        <v>13792</v>
      </c>
      <c r="EL56" s="108">
        <f t="shared" ref="EL56" si="442">EK56/$EB56</f>
        <v>0.60666842614586081</v>
      </c>
      <c r="EM56" s="107">
        <v>17029</v>
      </c>
      <c r="EN56" s="108">
        <f t="shared" ref="EN56" si="443">EM56/$EB56</f>
        <v>0.74905427993313978</v>
      </c>
      <c r="EO56" s="163">
        <v>78096</v>
      </c>
      <c r="EP56" s="163">
        <v>53276</v>
      </c>
      <c r="EQ56" s="163">
        <v>82794</v>
      </c>
      <c r="ER56" s="163">
        <v>93637</v>
      </c>
      <c r="ES56" s="163">
        <v>60265</v>
      </c>
      <c r="ET56" s="107">
        <v>15678</v>
      </c>
      <c r="EU56" s="107">
        <v>1014</v>
      </c>
      <c r="EV56" s="108">
        <f t="shared" si="72"/>
        <v>6.4676616915422883E-2</v>
      </c>
      <c r="EW56" s="107">
        <v>18699</v>
      </c>
      <c r="EX56" s="107">
        <v>1699</v>
      </c>
      <c r="EY56" s="108">
        <f t="shared" si="73"/>
        <v>9.0860473822129528E-2</v>
      </c>
      <c r="EZ56" s="107">
        <f t="shared" si="74"/>
        <v>34377</v>
      </c>
      <c r="FA56" s="107">
        <f t="shared" si="75"/>
        <v>2713</v>
      </c>
      <c r="FB56" s="108">
        <f t="shared" si="76"/>
        <v>7.8919044710125952E-2</v>
      </c>
      <c r="FC56" s="107">
        <v>34377</v>
      </c>
      <c r="FD56" s="107">
        <v>2713</v>
      </c>
      <c r="FE56" s="108">
        <f t="shared" si="77"/>
        <v>7.8919044710125952E-2</v>
      </c>
      <c r="FF56" s="107">
        <v>4922</v>
      </c>
      <c r="FG56" s="108">
        <f t="shared" si="77"/>
        <v>0.14317712424004422</v>
      </c>
      <c r="FH56" s="107">
        <v>6872</v>
      </c>
      <c r="FI56" s="108">
        <f t="shared" ref="FI56" si="444">FH56/$FC56</f>
        <v>0.19990109666346687</v>
      </c>
      <c r="FJ56" s="107">
        <v>7839</v>
      </c>
      <c r="FK56" s="108">
        <f t="shared" ref="FK56" si="445">FJ56/$FC56</f>
        <v>0.22803036914215899</v>
      </c>
      <c r="FL56" s="107">
        <v>13315</v>
      </c>
      <c r="FM56" s="108">
        <f t="shared" ref="FM56" si="446">FL56/$FC56</f>
        <v>0.38732291939378072</v>
      </c>
      <c r="FN56" s="107">
        <v>2655</v>
      </c>
      <c r="FO56" s="108">
        <v>0.25363011081390907</v>
      </c>
      <c r="FP56" s="107">
        <v>32</v>
      </c>
      <c r="FQ56" s="108">
        <v>3.0569354222392052E-3</v>
      </c>
      <c r="FR56" s="107">
        <v>336</v>
      </c>
      <c r="FS56" s="108">
        <v>5.6661045531197302E-2</v>
      </c>
      <c r="FT56" s="110">
        <v>38</v>
      </c>
      <c r="FU56" s="108">
        <v>6.4080944350758855E-3</v>
      </c>
      <c r="FV56" s="107">
        <v>2557</v>
      </c>
      <c r="FW56" s="108">
        <v>0.22901925660546349</v>
      </c>
      <c r="FX56" s="107">
        <v>40</v>
      </c>
      <c r="FY56" s="108">
        <v>3.5826242722794446E-3</v>
      </c>
      <c r="FZ56" s="107">
        <v>389</v>
      </c>
      <c r="GA56" s="108">
        <v>4.7214467775215437E-2</v>
      </c>
      <c r="GB56" s="107">
        <v>0</v>
      </c>
      <c r="GC56" s="108">
        <v>0</v>
      </c>
      <c r="GD56" s="107">
        <v>5937</v>
      </c>
      <c r="GE56" s="117">
        <v>0.16582872465225407</v>
      </c>
      <c r="GF56" s="107">
        <v>110</v>
      </c>
      <c r="GG56" s="117">
        <v>3.0724540528462097E-3</v>
      </c>
      <c r="GH56" s="107">
        <v>22734</v>
      </c>
      <c r="GI56" s="107">
        <v>4436</v>
      </c>
      <c r="GJ56" s="108">
        <f t="shared" si="81"/>
        <v>0.19512624263218087</v>
      </c>
      <c r="GK56" s="107">
        <v>1733</v>
      </c>
      <c r="GL56" s="108">
        <f t="shared" si="82"/>
        <v>0.39066726780883682</v>
      </c>
      <c r="GM56" s="107">
        <v>2370</v>
      </c>
      <c r="GN56" s="108">
        <f t="shared" si="83"/>
        <v>0.5342651036970244</v>
      </c>
      <c r="GO56" s="107">
        <v>18298</v>
      </c>
      <c r="GP56" s="108">
        <f t="shared" si="84"/>
        <v>0.80487375736781908</v>
      </c>
      <c r="GQ56" s="107">
        <v>13225</v>
      </c>
      <c r="GR56" s="108">
        <f t="shared" si="85"/>
        <v>0.72275658541917154</v>
      </c>
      <c r="GS56" s="107">
        <v>4874</v>
      </c>
      <c r="GT56" s="108">
        <f t="shared" si="86"/>
        <v>0.26636790906109958</v>
      </c>
    </row>
    <row r="57" spans="1:202" x14ac:dyDescent="0.25">
      <c r="A57" s="104" t="s">
        <v>229</v>
      </c>
      <c r="B57" s="143">
        <v>17205</v>
      </c>
      <c r="C57" s="143">
        <v>5630</v>
      </c>
      <c r="D57" s="143">
        <v>4294</v>
      </c>
      <c r="E57" s="143">
        <v>1769</v>
      </c>
      <c r="F57" s="143">
        <v>445</v>
      </c>
      <c r="G57" s="144">
        <f t="shared" si="2"/>
        <v>0.32723045626271435</v>
      </c>
      <c r="H57" s="144">
        <f t="shared" si="3"/>
        <v>0.24957861086893346</v>
      </c>
      <c r="I57" s="144">
        <f t="shared" si="4"/>
        <v>0.1028189479802383</v>
      </c>
      <c r="J57" s="144">
        <f t="shared" si="5"/>
        <v>2.5864574251671026E-2</v>
      </c>
      <c r="K57" s="143">
        <v>2072</v>
      </c>
      <c r="L57" s="145">
        <f t="shared" si="6"/>
        <v>0.48253376804843967</v>
      </c>
      <c r="M57" s="143">
        <v>2222</v>
      </c>
      <c r="N57" s="145">
        <f t="shared" si="7"/>
        <v>0.51746623195156027</v>
      </c>
      <c r="O57" s="148">
        <v>46.6</v>
      </c>
      <c r="P57" s="107">
        <v>7250</v>
      </c>
      <c r="Q57" s="107">
        <v>3788</v>
      </c>
      <c r="R57" s="108">
        <f t="shared" si="8"/>
        <v>0.5224827586206896</v>
      </c>
      <c r="S57" s="107">
        <v>2986</v>
      </c>
      <c r="T57" s="149">
        <f t="shared" si="9"/>
        <v>0.41186206896551725</v>
      </c>
      <c r="U57" s="143">
        <v>2072</v>
      </c>
      <c r="V57" s="107">
        <v>126</v>
      </c>
      <c r="W57" s="108">
        <f t="shared" si="10"/>
        <v>6.0810810810810814E-2</v>
      </c>
      <c r="X57" s="107">
        <v>1431</v>
      </c>
      <c r="Y57" s="150">
        <f t="shared" si="11"/>
        <v>0.69063706563706562</v>
      </c>
      <c r="Z57" s="107">
        <v>94</v>
      </c>
      <c r="AA57" s="108">
        <f t="shared" si="12"/>
        <v>4.5366795366795366E-2</v>
      </c>
      <c r="AB57" s="107">
        <v>174</v>
      </c>
      <c r="AC57" s="108">
        <f t="shared" si="13"/>
        <v>8.3976833976833976E-2</v>
      </c>
      <c r="AD57" s="107">
        <v>247</v>
      </c>
      <c r="AE57" s="108">
        <f t="shared" si="14"/>
        <v>0.11920849420849421</v>
      </c>
      <c r="AF57" s="107">
        <v>2222</v>
      </c>
      <c r="AG57" s="107">
        <v>116</v>
      </c>
      <c r="AH57" s="108">
        <f t="shared" si="15"/>
        <v>5.2205220522052204E-2</v>
      </c>
      <c r="AI57" s="107">
        <v>1138</v>
      </c>
      <c r="AJ57" s="108">
        <f t="shared" si="16"/>
        <v>0.51215121512151218</v>
      </c>
      <c r="AK57" s="107">
        <v>43</v>
      </c>
      <c r="AL57" s="108">
        <f t="shared" si="17"/>
        <v>1.9351935193519351E-2</v>
      </c>
      <c r="AM57" s="107">
        <v>675</v>
      </c>
      <c r="AN57" s="108">
        <f t="shared" si="18"/>
        <v>0.30378037803780378</v>
      </c>
      <c r="AO57" s="107">
        <v>250</v>
      </c>
      <c r="AP57" s="108">
        <f t="shared" si="19"/>
        <v>0.11251125112511251</v>
      </c>
      <c r="AQ57" s="107">
        <f t="shared" si="20"/>
        <v>4294</v>
      </c>
      <c r="AR57" s="107">
        <f t="shared" si="21"/>
        <v>242</v>
      </c>
      <c r="AS57" s="108">
        <f t="shared" si="22"/>
        <v>5.6357708430367956E-2</v>
      </c>
      <c r="AT57" s="107">
        <f t="shared" si="23"/>
        <v>2569</v>
      </c>
      <c r="AU57" s="108">
        <f t="shared" si="24"/>
        <v>0.5982766651141127</v>
      </c>
      <c r="AV57" s="107">
        <f t="shared" si="25"/>
        <v>137</v>
      </c>
      <c r="AW57" s="108">
        <f t="shared" si="26"/>
        <v>3.1904983698183509E-2</v>
      </c>
      <c r="AX57" s="107">
        <f t="shared" si="27"/>
        <v>849</v>
      </c>
      <c r="AY57" s="108">
        <f t="shared" si="28"/>
        <v>0.19771774569166278</v>
      </c>
      <c r="AZ57" s="107">
        <f t="shared" si="29"/>
        <v>497</v>
      </c>
      <c r="BA57" s="108">
        <f t="shared" si="30"/>
        <v>0.11574289706567303</v>
      </c>
      <c r="BB57" s="111">
        <v>2040</v>
      </c>
      <c r="BC57" s="111">
        <v>627</v>
      </c>
      <c r="BD57" s="152">
        <f t="shared" si="31"/>
        <v>0.30735294117647061</v>
      </c>
      <c r="BE57" s="111">
        <v>2156</v>
      </c>
      <c r="BF57" s="111">
        <v>510</v>
      </c>
      <c r="BG57" s="152">
        <f t="shared" si="0"/>
        <v>0.23654916512059368</v>
      </c>
      <c r="BH57" s="153">
        <f t="shared" si="32"/>
        <v>4196</v>
      </c>
      <c r="BI57" s="153">
        <f t="shared" si="33"/>
        <v>1137</v>
      </c>
      <c r="BJ57" s="154">
        <f t="shared" si="34"/>
        <v>0.27097235462345093</v>
      </c>
      <c r="BK57" s="107">
        <v>4294</v>
      </c>
      <c r="BL57" s="107">
        <v>1197</v>
      </c>
      <c r="BM57" s="108">
        <f t="shared" si="87"/>
        <v>0.27876106194690264</v>
      </c>
      <c r="BN57" s="107">
        <v>2072</v>
      </c>
      <c r="BO57" s="107">
        <v>454</v>
      </c>
      <c r="BP57" s="108">
        <f t="shared" si="35"/>
        <v>0.21911196911196912</v>
      </c>
      <c r="BQ57" s="107">
        <v>2222</v>
      </c>
      <c r="BR57" s="107">
        <v>743</v>
      </c>
      <c r="BS57" s="108">
        <f t="shared" si="36"/>
        <v>0.33438343834383438</v>
      </c>
      <c r="BT57" s="113">
        <v>17123</v>
      </c>
      <c r="BU57" s="113">
        <v>4416</v>
      </c>
      <c r="BV57" s="156">
        <f t="shared" si="37"/>
        <v>0.25789873269870933</v>
      </c>
      <c r="BW57" s="156">
        <f t="shared" si="38"/>
        <v>1</v>
      </c>
      <c r="BX57" s="113">
        <v>15853</v>
      </c>
      <c r="BY57" s="113">
        <v>4326</v>
      </c>
      <c r="BZ57" s="156">
        <f t="shared" si="39"/>
        <v>0.27288210433356463</v>
      </c>
      <c r="CA57" s="156">
        <f t="shared" si="40"/>
        <v>0.97961956521739135</v>
      </c>
      <c r="CB57" s="113">
        <v>160</v>
      </c>
      <c r="CC57" s="113">
        <v>12</v>
      </c>
      <c r="CD57" s="156">
        <f t="shared" si="41"/>
        <v>7.4999999999999997E-2</v>
      </c>
      <c r="CE57" s="156">
        <f t="shared" si="88"/>
        <v>2.717391304347826E-3</v>
      </c>
      <c r="CF57" s="113">
        <v>68</v>
      </c>
      <c r="CG57" s="113">
        <v>9</v>
      </c>
      <c r="CH57" s="156">
        <f t="shared" si="42"/>
        <v>0.13235294117647059</v>
      </c>
      <c r="CI57" s="156">
        <f t="shared" si="43"/>
        <v>2.0380434782608695E-3</v>
      </c>
      <c r="CJ57" s="113">
        <v>198</v>
      </c>
      <c r="CK57" s="113">
        <v>17</v>
      </c>
      <c r="CL57" s="161">
        <f t="shared" si="44"/>
        <v>8.5858585858585856E-2</v>
      </c>
      <c r="CM57" s="156">
        <f t="shared" si="45"/>
        <v>3.8496376811594205E-3</v>
      </c>
      <c r="CN57" s="113">
        <v>6</v>
      </c>
      <c r="CO57" s="113">
        <v>2</v>
      </c>
      <c r="CP57" s="161">
        <f t="shared" si="46"/>
        <v>0.33333333333333331</v>
      </c>
      <c r="CQ57" s="156">
        <f t="shared" si="47"/>
        <v>4.5289855072463769E-4</v>
      </c>
      <c r="CR57" s="105">
        <v>192</v>
      </c>
      <c r="CS57" s="105">
        <v>6</v>
      </c>
      <c r="CT57" s="106">
        <f t="shared" si="48"/>
        <v>3.125E-2</v>
      </c>
      <c r="CU57" s="106">
        <f t="shared" si="49"/>
        <v>1.358695652173913E-3</v>
      </c>
      <c r="CV57" s="113">
        <v>234</v>
      </c>
      <c r="CW57" s="113">
        <v>19</v>
      </c>
      <c r="CX57" s="156">
        <f t="shared" si="50"/>
        <v>8.11965811965812E-2</v>
      </c>
      <c r="CY57" s="156">
        <f t="shared" si="51"/>
        <v>4.302536231884058E-3</v>
      </c>
      <c r="CZ57" s="113">
        <v>604</v>
      </c>
      <c r="DA57" s="113">
        <v>31</v>
      </c>
      <c r="DB57" s="156">
        <f t="shared" si="52"/>
        <v>5.1324503311258277E-2</v>
      </c>
      <c r="DC57" s="156">
        <f t="shared" si="89"/>
        <v>7.019927536231884E-3</v>
      </c>
      <c r="DD57" s="107">
        <v>2072</v>
      </c>
      <c r="DE57" s="107">
        <v>190</v>
      </c>
      <c r="DF57" s="107">
        <v>933</v>
      </c>
      <c r="DG57" s="107">
        <v>473</v>
      </c>
      <c r="DH57" s="107">
        <v>476</v>
      </c>
      <c r="DI57" s="149">
        <f t="shared" si="53"/>
        <v>9.1698841698841696E-2</v>
      </c>
      <c r="DJ57" s="149">
        <f t="shared" si="54"/>
        <v>0.45028957528957531</v>
      </c>
      <c r="DK57" s="149">
        <f t="shared" si="55"/>
        <v>0.45801158301158301</v>
      </c>
      <c r="DL57" s="107">
        <v>2222</v>
      </c>
      <c r="DM57" s="107">
        <v>130</v>
      </c>
      <c r="DN57" s="107">
        <v>923</v>
      </c>
      <c r="DO57" s="107">
        <v>697</v>
      </c>
      <c r="DP57" s="107">
        <v>472</v>
      </c>
      <c r="DQ57" s="149">
        <f t="shared" si="56"/>
        <v>5.8505850585058507E-2</v>
      </c>
      <c r="DR57" s="149">
        <f t="shared" si="57"/>
        <v>0.41539153915391541</v>
      </c>
      <c r="DS57" s="149">
        <f t="shared" si="58"/>
        <v>0.52610261026102612</v>
      </c>
      <c r="DT57" s="107">
        <f t="shared" si="59"/>
        <v>4294</v>
      </c>
      <c r="DU57" s="107">
        <f t="shared" si="60"/>
        <v>320</v>
      </c>
      <c r="DV57" s="107">
        <f t="shared" si="61"/>
        <v>1856</v>
      </c>
      <c r="DW57" s="107">
        <f t="shared" si="62"/>
        <v>1170</v>
      </c>
      <c r="DX57" s="107">
        <f t="shared" si="63"/>
        <v>948</v>
      </c>
      <c r="DY57" s="108">
        <f t="shared" si="64"/>
        <v>7.4522589659990687E-2</v>
      </c>
      <c r="DZ57" s="108">
        <f t="shared" si="65"/>
        <v>0.43223102002794594</v>
      </c>
      <c r="EA57" s="108">
        <f t="shared" si="66"/>
        <v>0.49324639031206335</v>
      </c>
      <c r="EB57" s="107">
        <v>2727</v>
      </c>
      <c r="EC57" s="110">
        <v>266</v>
      </c>
      <c r="ED57" s="108">
        <f t="shared" si="67"/>
        <v>9.7543087642097542E-2</v>
      </c>
      <c r="EE57" s="107">
        <v>614</v>
      </c>
      <c r="EF57" s="108">
        <f t="shared" si="67"/>
        <v>0.22515584891822515</v>
      </c>
      <c r="EG57" s="107">
        <v>957</v>
      </c>
      <c r="EH57" s="108">
        <f t="shared" ref="EH57" si="447">EG57/$EB57</f>
        <v>0.35093509350935093</v>
      </c>
      <c r="EI57" s="107">
        <v>1314</v>
      </c>
      <c r="EJ57" s="108">
        <f t="shared" ref="EJ57" si="448">EI57/$EB57</f>
        <v>0.48184818481848185</v>
      </c>
      <c r="EK57" s="107">
        <v>1891</v>
      </c>
      <c r="EL57" s="108">
        <f t="shared" ref="EL57" si="449">EK57/$EB57</f>
        <v>0.69343601026769341</v>
      </c>
      <c r="EM57" s="107">
        <v>2282</v>
      </c>
      <c r="EN57" s="108">
        <f t="shared" ref="EN57" si="450">EM57/$EB57</f>
        <v>0.83681701503483685</v>
      </c>
      <c r="EO57" s="163">
        <v>66420</v>
      </c>
      <c r="EP57" s="163">
        <v>35625</v>
      </c>
      <c r="EQ57" s="163">
        <v>70694</v>
      </c>
      <c r="ER57" s="163">
        <v>86141</v>
      </c>
      <c r="ES57" s="163">
        <v>53327</v>
      </c>
      <c r="ET57" s="107">
        <v>2040</v>
      </c>
      <c r="EU57" s="107">
        <v>217</v>
      </c>
      <c r="EV57" s="108">
        <f t="shared" si="72"/>
        <v>0.10637254901960784</v>
      </c>
      <c r="EW57" s="107">
        <v>2156</v>
      </c>
      <c r="EX57" s="107">
        <v>275</v>
      </c>
      <c r="EY57" s="108">
        <f t="shared" si="73"/>
        <v>0.12755102040816327</v>
      </c>
      <c r="EZ57" s="107">
        <f t="shared" si="74"/>
        <v>4196</v>
      </c>
      <c r="FA57" s="107">
        <f t="shared" si="75"/>
        <v>492</v>
      </c>
      <c r="FB57" s="108">
        <f t="shared" si="76"/>
        <v>0.11725452812202097</v>
      </c>
      <c r="FC57" s="107">
        <v>4196</v>
      </c>
      <c r="FD57" s="107">
        <v>492</v>
      </c>
      <c r="FE57" s="108">
        <f t="shared" si="77"/>
        <v>0.11725452812202097</v>
      </c>
      <c r="FF57" s="107">
        <v>834</v>
      </c>
      <c r="FG57" s="108">
        <f t="shared" si="77"/>
        <v>0.19876072449952337</v>
      </c>
      <c r="FH57" s="107">
        <v>1147</v>
      </c>
      <c r="FI57" s="108">
        <f t="shared" ref="FI57" si="451">FH57/$FC57</f>
        <v>0.27335557673975214</v>
      </c>
      <c r="FJ57" s="107">
        <v>1354</v>
      </c>
      <c r="FK57" s="108">
        <f t="shared" ref="FK57" si="452">FJ57/$FC57</f>
        <v>0.32268827454718779</v>
      </c>
      <c r="FL57" s="107">
        <v>2022</v>
      </c>
      <c r="FM57" s="108">
        <f t="shared" ref="FM57" si="453">FL57/$FC57</f>
        <v>0.48188751191611057</v>
      </c>
      <c r="FN57" s="107">
        <v>390</v>
      </c>
      <c r="FO57" s="108">
        <v>0.30781373322809785</v>
      </c>
      <c r="FP57" s="107">
        <v>4</v>
      </c>
      <c r="FQ57" s="108">
        <v>3.1570639305445935E-3</v>
      </c>
      <c r="FR57" s="107">
        <v>57</v>
      </c>
      <c r="FS57" s="108">
        <v>7.0807453416149066E-2</v>
      </c>
      <c r="FT57" s="110">
        <v>0</v>
      </c>
      <c r="FU57" s="108">
        <v>0</v>
      </c>
      <c r="FV57" s="107">
        <v>326</v>
      </c>
      <c r="FW57" s="108">
        <v>0.25914149443561207</v>
      </c>
      <c r="FX57" s="107">
        <v>1</v>
      </c>
      <c r="FY57" s="108">
        <v>7.9491255961844202E-4</v>
      </c>
      <c r="FZ57" s="107">
        <v>67</v>
      </c>
      <c r="GA57" s="108">
        <v>6.9502074688796683E-2</v>
      </c>
      <c r="GB57" s="107">
        <v>1</v>
      </c>
      <c r="GC57" s="108">
        <v>1.037344398340249E-3</v>
      </c>
      <c r="GD57" s="107">
        <v>840</v>
      </c>
      <c r="GE57" s="117">
        <v>0.19562179785747555</v>
      </c>
      <c r="GF57" s="107">
        <v>6</v>
      </c>
      <c r="GG57" s="117">
        <v>1.3972985561248254E-3</v>
      </c>
      <c r="GH57" s="107">
        <v>2727</v>
      </c>
      <c r="GI57" s="107">
        <v>531</v>
      </c>
      <c r="GJ57" s="108">
        <f t="shared" si="81"/>
        <v>0.19471947194719472</v>
      </c>
      <c r="GK57" s="107">
        <v>226</v>
      </c>
      <c r="GL57" s="108">
        <f t="shared" si="82"/>
        <v>0.4256120527306968</v>
      </c>
      <c r="GM57" s="107">
        <v>211</v>
      </c>
      <c r="GN57" s="108">
        <f t="shared" si="83"/>
        <v>0.39736346516007531</v>
      </c>
      <c r="GO57" s="107">
        <v>2196</v>
      </c>
      <c r="GP57" s="108">
        <f t="shared" si="84"/>
        <v>0.80528052805280526</v>
      </c>
      <c r="GQ57" s="107">
        <v>1612</v>
      </c>
      <c r="GR57" s="108">
        <f t="shared" si="85"/>
        <v>0.73406193078324222</v>
      </c>
      <c r="GS57" s="107">
        <v>557</v>
      </c>
      <c r="GT57" s="108">
        <f t="shared" si="86"/>
        <v>0.25364298724954465</v>
      </c>
    </row>
    <row r="58" spans="1:202" x14ac:dyDescent="0.25">
      <c r="A58" s="104" t="s">
        <v>230</v>
      </c>
      <c r="B58" s="143">
        <v>164350</v>
      </c>
      <c r="C58" s="143">
        <v>41144</v>
      </c>
      <c r="D58" s="143">
        <v>29268</v>
      </c>
      <c r="E58" s="143">
        <v>11466</v>
      </c>
      <c r="F58" s="143">
        <v>3198</v>
      </c>
      <c r="G58" s="144">
        <f t="shared" si="2"/>
        <v>0.25034377852144812</v>
      </c>
      <c r="H58" s="144">
        <f t="shared" si="3"/>
        <v>0.17808335868573166</v>
      </c>
      <c r="I58" s="144">
        <f t="shared" si="4"/>
        <v>6.9765743839367206E-2</v>
      </c>
      <c r="J58" s="144">
        <f t="shared" si="5"/>
        <v>1.9458472771524186E-2</v>
      </c>
      <c r="K58" s="143">
        <v>13286</v>
      </c>
      <c r="L58" s="145">
        <f t="shared" si="6"/>
        <v>0.45394287276206097</v>
      </c>
      <c r="M58" s="143">
        <v>15982</v>
      </c>
      <c r="N58" s="145">
        <f t="shared" si="7"/>
        <v>0.54605712723793909</v>
      </c>
      <c r="O58" s="148">
        <v>40.299999999999997</v>
      </c>
      <c r="P58" s="107">
        <v>67201</v>
      </c>
      <c r="Q58" s="107">
        <v>28557</v>
      </c>
      <c r="R58" s="108">
        <f t="shared" si="8"/>
        <v>0.42494903349652535</v>
      </c>
      <c r="S58" s="107">
        <v>21499</v>
      </c>
      <c r="T58" s="149">
        <f t="shared" si="9"/>
        <v>0.31992083451139119</v>
      </c>
      <c r="U58" s="143">
        <v>13286</v>
      </c>
      <c r="V58" s="107">
        <v>832</v>
      </c>
      <c r="W58" s="108">
        <f t="shared" si="10"/>
        <v>6.262230919765166E-2</v>
      </c>
      <c r="X58" s="107">
        <v>8724</v>
      </c>
      <c r="Y58" s="150">
        <f t="shared" si="11"/>
        <v>0.65663104019268403</v>
      </c>
      <c r="Z58" s="107">
        <v>337</v>
      </c>
      <c r="AA58" s="108">
        <f t="shared" si="12"/>
        <v>2.5365045912991119E-2</v>
      </c>
      <c r="AB58" s="107">
        <v>1659</v>
      </c>
      <c r="AC58" s="108">
        <f t="shared" si="13"/>
        <v>0.12486828240252898</v>
      </c>
      <c r="AD58" s="107">
        <v>1734</v>
      </c>
      <c r="AE58" s="108">
        <f t="shared" si="14"/>
        <v>0.13051332229414422</v>
      </c>
      <c r="AF58" s="107">
        <v>15982</v>
      </c>
      <c r="AG58" s="107">
        <v>785</v>
      </c>
      <c r="AH58" s="108">
        <f t="shared" si="15"/>
        <v>4.9117757477161808E-2</v>
      </c>
      <c r="AI58" s="107">
        <v>7213</v>
      </c>
      <c r="AJ58" s="108">
        <f t="shared" si="16"/>
        <v>0.45132023526467274</v>
      </c>
      <c r="AK58" s="107">
        <v>463</v>
      </c>
      <c r="AL58" s="108">
        <f t="shared" si="17"/>
        <v>2.8970091352771867E-2</v>
      </c>
      <c r="AM58" s="107">
        <v>4730</v>
      </c>
      <c r="AN58" s="108">
        <f t="shared" si="18"/>
        <v>0.29595795269678388</v>
      </c>
      <c r="AO58" s="107">
        <v>2791</v>
      </c>
      <c r="AP58" s="108">
        <f t="shared" si="19"/>
        <v>0.17463396320860969</v>
      </c>
      <c r="AQ58" s="107">
        <f t="shared" si="20"/>
        <v>29268</v>
      </c>
      <c r="AR58" s="107">
        <f t="shared" si="21"/>
        <v>1617</v>
      </c>
      <c r="AS58" s="108">
        <f t="shared" si="22"/>
        <v>5.5248052480524806E-2</v>
      </c>
      <c r="AT58" s="107">
        <f t="shared" si="23"/>
        <v>15937</v>
      </c>
      <c r="AU58" s="108">
        <f t="shared" si="24"/>
        <v>0.5445196118627853</v>
      </c>
      <c r="AV58" s="107">
        <f t="shared" si="25"/>
        <v>800</v>
      </c>
      <c r="AW58" s="108">
        <f t="shared" si="26"/>
        <v>2.7333606669400028E-2</v>
      </c>
      <c r="AX58" s="107">
        <f t="shared" si="27"/>
        <v>6389</v>
      </c>
      <c r="AY58" s="108">
        <f t="shared" si="28"/>
        <v>0.21829301626349598</v>
      </c>
      <c r="AZ58" s="107">
        <f t="shared" si="29"/>
        <v>4525</v>
      </c>
      <c r="BA58" s="108">
        <f t="shared" si="30"/>
        <v>0.15460571272379389</v>
      </c>
      <c r="BB58" s="111">
        <v>13091</v>
      </c>
      <c r="BC58" s="111">
        <v>4143</v>
      </c>
      <c r="BD58" s="152">
        <f t="shared" si="31"/>
        <v>0.31647696890993815</v>
      </c>
      <c r="BE58" s="111">
        <v>15522</v>
      </c>
      <c r="BF58" s="111">
        <v>4336</v>
      </c>
      <c r="BG58" s="152">
        <f t="shared" si="0"/>
        <v>0.27934544517459092</v>
      </c>
      <c r="BH58" s="153">
        <f t="shared" si="32"/>
        <v>28613</v>
      </c>
      <c r="BI58" s="153">
        <f t="shared" si="33"/>
        <v>8479</v>
      </c>
      <c r="BJ58" s="154">
        <f t="shared" si="34"/>
        <v>0.29633383427113552</v>
      </c>
      <c r="BK58" s="107">
        <v>29268</v>
      </c>
      <c r="BL58" s="107">
        <v>9110</v>
      </c>
      <c r="BM58" s="108">
        <f t="shared" si="87"/>
        <v>0.31126144594779281</v>
      </c>
      <c r="BN58" s="107">
        <v>13286</v>
      </c>
      <c r="BO58" s="107">
        <v>2979</v>
      </c>
      <c r="BP58" s="108">
        <f t="shared" si="35"/>
        <v>0.22422098449495709</v>
      </c>
      <c r="BQ58" s="107">
        <v>15982</v>
      </c>
      <c r="BR58" s="107">
        <v>6131</v>
      </c>
      <c r="BS58" s="108">
        <f t="shared" si="36"/>
        <v>0.38361907145538732</v>
      </c>
      <c r="BT58" s="113">
        <v>165461</v>
      </c>
      <c r="BU58" s="113">
        <v>31182</v>
      </c>
      <c r="BV58" s="156">
        <f t="shared" si="37"/>
        <v>0.18845528553556426</v>
      </c>
      <c r="BW58" s="156">
        <f t="shared" si="38"/>
        <v>1</v>
      </c>
      <c r="BX58" s="113">
        <v>132626</v>
      </c>
      <c r="BY58" s="113">
        <v>29011</v>
      </c>
      <c r="BZ58" s="156">
        <f t="shared" si="39"/>
        <v>0.21874293125028274</v>
      </c>
      <c r="CA58" s="156">
        <f t="shared" si="40"/>
        <v>0.93037649926239496</v>
      </c>
      <c r="CB58" s="113">
        <v>8035</v>
      </c>
      <c r="CC58" s="113">
        <v>873</v>
      </c>
      <c r="CD58" s="156">
        <f t="shared" si="41"/>
        <v>0.10864965774735533</v>
      </c>
      <c r="CE58" s="156">
        <f t="shared" si="88"/>
        <v>2.7996921300750433E-2</v>
      </c>
      <c r="CF58" s="113">
        <v>448</v>
      </c>
      <c r="CG58" s="113">
        <v>96</v>
      </c>
      <c r="CH58" s="156">
        <f t="shared" si="42"/>
        <v>0.21428571428571427</v>
      </c>
      <c r="CI58" s="156">
        <f t="shared" si="43"/>
        <v>3.0786992495670578E-3</v>
      </c>
      <c r="CJ58" s="113">
        <v>2269</v>
      </c>
      <c r="CK58" s="113">
        <v>241</v>
      </c>
      <c r="CL58" s="161">
        <f t="shared" si="44"/>
        <v>0.10621419127368885</v>
      </c>
      <c r="CM58" s="156">
        <f t="shared" si="45"/>
        <v>7.7288179077673012E-3</v>
      </c>
      <c r="CN58" s="113">
        <v>83</v>
      </c>
      <c r="CO58" s="113">
        <v>7</v>
      </c>
      <c r="CP58" s="161">
        <f t="shared" si="46"/>
        <v>8.4337349397590355E-2</v>
      </c>
      <c r="CQ58" s="156">
        <f t="shared" si="47"/>
        <v>2.2448848694759798E-4</v>
      </c>
      <c r="CR58" s="105">
        <v>1811</v>
      </c>
      <c r="CS58" s="105">
        <v>9</v>
      </c>
      <c r="CT58" s="106">
        <f t="shared" si="48"/>
        <v>4.9696300386526783E-3</v>
      </c>
      <c r="CU58" s="106">
        <f t="shared" si="49"/>
        <v>2.886280546469117E-4</v>
      </c>
      <c r="CV58" s="113">
        <v>4311</v>
      </c>
      <c r="CW58" s="113">
        <v>151</v>
      </c>
      <c r="CX58" s="156">
        <f t="shared" si="50"/>
        <v>3.5026675945256318E-2</v>
      </c>
      <c r="CY58" s="156">
        <f t="shared" si="51"/>
        <v>4.842537361298185E-3</v>
      </c>
      <c r="CZ58" s="113">
        <v>17689</v>
      </c>
      <c r="DA58" s="113">
        <v>803</v>
      </c>
      <c r="DB58" s="156">
        <f t="shared" si="52"/>
        <v>4.5395443495957942E-2</v>
      </c>
      <c r="DC58" s="156">
        <f t="shared" si="89"/>
        <v>2.5752036431274453E-2</v>
      </c>
      <c r="DD58" s="107">
        <v>13286</v>
      </c>
      <c r="DE58" s="107">
        <v>1317</v>
      </c>
      <c r="DF58" s="107">
        <v>5059</v>
      </c>
      <c r="DG58" s="107">
        <v>3561</v>
      </c>
      <c r="DH58" s="107">
        <v>3349</v>
      </c>
      <c r="DI58" s="149">
        <f t="shared" si="53"/>
        <v>9.9126900496763509E-2</v>
      </c>
      <c r="DJ58" s="149">
        <f t="shared" si="54"/>
        <v>0.38077675748908624</v>
      </c>
      <c r="DK58" s="149">
        <f t="shared" si="55"/>
        <v>0.52009634201415023</v>
      </c>
      <c r="DL58" s="107">
        <v>15982</v>
      </c>
      <c r="DM58" s="107">
        <v>1267</v>
      </c>
      <c r="DN58" s="107">
        <v>6747</v>
      </c>
      <c r="DO58" s="107">
        <v>4354</v>
      </c>
      <c r="DP58" s="107">
        <v>3614</v>
      </c>
      <c r="DQ58" s="149">
        <f t="shared" si="56"/>
        <v>7.9276686272056057E-2</v>
      </c>
      <c r="DR58" s="149">
        <f t="shared" si="57"/>
        <v>0.42216243273682891</v>
      </c>
      <c r="DS58" s="149">
        <f t="shared" si="58"/>
        <v>0.49856088099111501</v>
      </c>
      <c r="DT58" s="107">
        <f t="shared" si="59"/>
        <v>29268</v>
      </c>
      <c r="DU58" s="107">
        <f t="shared" si="60"/>
        <v>2584</v>
      </c>
      <c r="DV58" s="107">
        <f t="shared" si="61"/>
        <v>11806</v>
      </c>
      <c r="DW58" s="107">
        <f t="shared" si="62"/>
        <v>7915</v>
      </c>
      <c r="DX58" s="107">
        <f t="shared" si="63"/>
        <v>6963</v>
      </c>
      <c r="DY58" s="108">
        <f t="shared" si="64"/>
        <v>8.8287549542162086E-2</v>
      </c>
      <c r="DZ58" s="108">
        <f t="shared" si="65"/>
        <v>0.40337570042367088</v>
      </c>
      <c r="EA58" s="108">
        <f t="shared" si="66"/>
        <v>0.50833675003416701</v>
      </c>
      <c r="EB58" s="107">
        <v>19272</v>
      </c>
      <c r="EC58" s="110">
        <v>1747</v>
      </c>
      <c r="ED58" s="108">
        <f t="shared" si="67"/>
        <v>9.0649647156496468E-2</v>
      </c>
      <c r="EE58" s="107">
        <v>3692</v>
      </c>
      <c r="EF58" s="108">
        <f t="shared" si="67"/>
        <v>0.19157326691573268</v>
      </c>
      <c r="EG58" s="107">
        <v>6153</v>
      </c>
      <c r="EH58" s="108">
        <f t="shared" ref="EH58" si="454">EG58/$EB58</f>
        <v>0.31927148194271482</v>
      </c>
      <c r="EI58" s="107">
        <v>8932</v>
      </c>
      <c r="EJ58" s="108">
        <f t="shared" ref="EJ58" si="455">EI58/$EB58</f>
        <v>0.4634703196347032</v>
      </c>
      <c r="EK58" s="107">
        <v>12708</v>
      </c>
      <c r="EL58" s="108">
        <f t="shared" ref="EL58" si="456">EK58/$EB58</f>
        <v>0.65940224159402239</v>
      </c>
      <c r="EM58" s="107">
        <v>15756</v>
      </c>
      <c r="EN58" s="108">
        <f t="shared" ref="EN58" si="457">EM58/$EB58</f>
        <v>0.81755915317559158</v>
      </c>
      <c r="EO58" s="163">
        <v>75673</v>
      </c>
      <c r="EP58" s="163">
        <v>60292</v>
      </c>
      <c r="EQ58" s="163">
        <v>85777</v>
      </c>
      <c r="ER58" s="163">
        <v>87521</v>
      </c>
      <c r="ES58" s="163">
        <v>54841</v>
      </c>
      <c r="ET58" s="107">
        <v>13091</v>
      </c>
      <c r="EU58" s="107">
        <v>977</v>
      </c>
      <c r="EV58" s="108">
        <f t="shared" si="72"/>
        <v>7.4631426170651591E-2</v>
      </c>
      <c r="EW58" s="107">
        <v>15522</v>
      </c>
      <c r="EX58" s="107">
        <v>1649</v>
      </c>
      <c r="EY58" s="108">
        <f t="shared" si="73"/>
        <v>0.1062363097538977</v>
      </c>
      <c r="EZ58" s="107">
        <f t="shared" si="74"/>
        <v>28613</v>
      </c>
      <c r="FA58" s="107">
        <f t="shared" si="75"/>
        <v>2626</v>
      </c>
      <c r="FB58" s="108">
        <f t="shared" si="76"/>
        <v>9.1776465243071328E-2</v>
      </c>
      <c r="FC58" s="107">
        <v>28613</v>
      </c>
      <c r="FD58" s="107">
        <v>2626</v>
      </c>
      <c r="FE58" s="108">
        <f t="shared" si="77"/>
        <v>9.1776465243071328E-2</v>
      </c>
      <c r="FF58" s="107">
        <v>5041</v>
      </c>
      <c r="FG58" s="108">
        <f t="shared" si="77"/>
        <v>0.17617866004962779</v>
      </c>
      <c r="FH58" s="107">
        <v>6587</v>
      </c>
      <c r="FI58" s="108">
        <f t="shared" ref="FI58" si="458">FH58/$FC58</f>
        <v>0.23021004438541923</v>
      </c>
      <c r="FJ58" s="107">
        <v>7747</v>
      </c>
      <c r="FK58" s="108">
        <f t="shared" ref="FK58" si="459">FJ58/$FC58</f>
        <v>0.27075105721175691</v>
      </c>
      <c r="FL58" s="107">
        <v>12971</v>
      </c>
      <c r="FM58" s="108">
        <f t="shared" ref="FM58" si="460">FL58/$FC58</f>
        <v>0.45332541152622935</v>
      </c>
      <c r="FN58" s="107">
        <v>2217</v>
      </c>
      <c r="FO58" s="108">
        <v>0.26079284790024704</v>
      </c>
      <c r="FP58" s="107">
        <v>24</v>
      </c>
      <c r="FQ58" s="108">
        <v>2.8231972709093049E-3</v>
      </c>
      <c r="FR58" s="107">
        <v>352</v>
      </c>
      <c r="FS58" s="108">
        <v>7.3563218390804597E-2</v>
      </c>
      <c r="FT58" s="110">
        <v>0</v>
      </c>
      <c r="FU58" s="108">
        <v>0</v>
      </c>
      <c r="FV58" s="107">
        <v>1733</v>
      </c>
      <c r="FW58" s="108">
        <v>0.18632405117729275</v>
      </c>
      <c r="FX58" s="107">
        <v>65</v>
      </c>
      <c r="FY58" s="108">
        <v>6.9884958606601438E-3</v>
      </c>
      <c r="FZ58" s="107">
        <v>286</v>
      </c>
      <c r="GA58" s="108">
        <v>4.2807962879808412E-2</v>
      </c>
      <c r="GB58" s="107">
        <v>24</v>
      </c>
      <c r="GC58" s="108">
        <v>3.5922766052986078E-3</v>
      </c>
      <c r="GD58" s="107">
        <v>4588</v>
      </c>
      <c r="GE58" s="117">
        <v>0.15675823424900914</v>
      </c>
      <c r="GF58" s="107">
        <v>113</v>
      </c>
      <c r="GG58" s="117">
        <v>3.860871942052754E-3</v>
      </c>
      <c r="GH58" s="107">
        <v>19272</v>
      </c>
      <c r="GI58" s="107">
        <v>3990</v>
      </c>
      <c r="GJ58" s="108">
        <f t="shared" si="81"/>
        <v>0.20703611457036114</v>
      </c>
      <c r="GK58" s="107">
        <v>1416</v>
      </c>
      <c r="GL58" s="108">
        <f t="shared" si="82"/>
        <v>0.35488721804511281</v>
      </c>
      <c r="GM58" s="107">
        <v>2268</v>
      </c>
      <c r="GN58" s="108">
        <f t="shared" si="83"/>
        <v>0.56842105263157894</v>
      </c>
      <c r="GO58" s="107">
        <v>15282</v>
      </c>
      <c r="GP58" s="108">
        <f t="shared" si="84"/>
        <v>0.7929638854296388</v>
      </c>
      <c r="GQ58" s="107">
        <v>11705</v>
      </c>
      <c r="GR58" s="108">
        <f t="shared" si="85"/>
        <v>0.76593377830126952</v>
      </c>
      <c r="GS58" s="107">
        <v>3511</v>
      </c>
      <c r="GT58" s="108">
        <f t="shared" si="86"/>
        <v>0.22974741525978276</v>
      </c>
    </row>
    <row r="59" spans="1:202" x14ac:dyDescent="0.25">
      <c r="A59" s="104" t="s">
        <v>231</v>
      </c>
      <c r="B59" s="143">
        <v>14179</v>
      </c>
      <c r="C59" s="143">
        <v>5096</v>
      </c>
      <c r="D59" s="143">
        <v>3691</v>
      </c>
      <c r="E59" s="143">
        <v>1470</v>
      </c>
      <c r="F59" s="143">
        <v>395</v>
      </c>
      <c r="G59" s="144">
        <f t="shared" si="2"/>
        <v>0.35940475350871004</v>
      </c>
      <c r="H59" s="144">
        <f t="shared" si="3"/>
        <v>0.26031454968615558</v>
      </c>
      <c r="I59" s="144">
        <f t="shared" si="4"/>
        <v>0.10367444812751252</v>
      </c>
      <c r="J59" s="144">
        <f t="shared" si="5"/>
        <v>2.7858100007052685E-2</v>
      </c>
      <c r="K59" s="143">
        <v>1806</v>
      </c>
      <c r="L59" s="145">
        <f t="shared" si="6"/>
        <v>0.489298293145489</v>
      </c>
      <c r="M59" s="143">
        <v>1885</v>
      </c>
      <c r="N59" s="145">
        <f t="shared" si="7"/>
        <v>0.510701706854511</v>
      </c>
      <c r="O59" s="148">
        <v>49.2</v>
      </c>
      <c r="P59" s="107">
        <v>6355</v>
      </c>
      <c r="Q59" s="107">
        <v>3432</v>
      </c>
      <c r="R59" s="108">
        <f t="shared" si="8"/>
        <v>0.54004720692368213</v>
      </c>
      <c r="S59" s="107">
        <v>2615</v>
      </c>
      <c r="T59" s="149">
        <f t="shared" si="9"/>
        <v>0.41148701809598742</v>
      </c>
      <c r="U59" s="143">
        <v>1806</v>
      </c>
      <c r="V59" s="107">
        <v>123</v>
      </c>
      <c r="W59" s="108">
        <f t="shared" si="10"/>
        <v>6.8106312292358806E-2</v>
      </c>
      <c r="X59" s="107">
        <v>1247</v>
      </c>
      <c r="Y59" s="150">
        <f t="shared" si="11"/>
        <v>0.69047619047619047</v>
      </c>
      <c r="Z59" s="107">
        <v>36</v>
      </c>
      <c r="AA59" s="108">
        <f t="shared" si="12"/>
        <v>1.9933554817275746E-2</v>
      </c>
      <c r="AB59" s="107">
        <v>138</v>
      </c>
      <c r="AC59" s="108">
        <f t="shared" si="13"/>
        <v>7.6411960132890366E-2</v>
      </c>
      <c r="AD59" s="107">
        <v>262</v>
      </c>
      <c r="AE59" s="108">
        <f t="shared" si="14"/>
        <v>0.14507198228128459</v>
      </c>
      <c r="AF59" s="107">
        <v>1885</v>
      </c>
      <c r="AG59" s="107">
        <v>93</v>
      </c>
      <c r="AH59" s="108">
        <f t="shared" si="15"/>
        <v>4.9336870026525197E-2</v>
      </c>
      <c r="AI59" s="107">
        <v>852</v>
      </c>
      <c r="AJ59" s="108">
        <f t="shared" si="16"/>
        <v>0.45198938992042442</v>
      </c>
      <c r="AK59" s="107">
        <v>25</v>
      </c>
      <c r="AL59" s="108">
        <f t="shared" si="17"/>
        <v>1.3262599469496022E-2</v>
      </c>
      <c r="AM59" s="107">
        <v>623</v>
      </c>
      <c r="AN59" s="108">
        <f t="shared" si="18"/>
        <v>0.33050397877984083</v>
      </c>
      <c r="AO59" s="107">
        <v>292</v>
      </c>
      <c r="AP59" s="108">
        <f t="shared" si="19"/>
        <v>0.15490716180371353</v>
      </c>
      <c r="AQ59" s="107">
        <f t="shared" si="20"/>
        <v>3691</v>
      </c>
      <c r="AR59" s="107">
        <f t="shared" si="21"/>
        <v>216</v>
      </c>
      <c r="AS59" s="108">
        <f t="shared" si="22"/>
        <v>5.8520726090490381E-2</v>
      </c>
      <c r="AT59" s="107">
        <f t="shared" si="23"/>
        <v>2099</v>
      </c>
      <c r="AU59" s="108">
        <f t="shared" si="24"/>
        <v>0.56868057437008945</v>
      </c>
      <c r="AV59" s="107">
        <f t="shared" si="25"/>
        <v>61</v>
      </c>
      <c r="AW59" s="108">
        <f t="shared" si="26"/>
        <v>1.6526686534814414E-2</v>
      </c>
      <c r="AX59" s="107">
        <f t="shared" si="27"/>
        <v>761</v>
      </c>
      <c r="AY59" s="108">
        <f t="shared" si="28"/>
        <v>0.20617718775399621</v>
      </c>
      <c r="AZ59" s="107">
        <f t="shared" si="29"/>
        <v>554</v>
      </c>
      <c r="BA59" s="108">
        <f t="shared" si="30"/>
        <v>0.1500948252506096</v>
      </c>
      <c r="BB59" s="111">
        <v>1753</v>
      </c>
      <c r="BC59" s="111">
        <v>690</v>
      </c>
      <c r="BD59" s="152">
        <f t="shared" si="31"/>
        <v>0.39361095265259555</v>
      </c>
      <c r="BE59" s="111">
        <v>1813</v>
      </c>
      <c r="BF59" s="111">
        <v>520</v>
      </c>
      <c r="BG59" s="152">
        <f t="shared" si="0"/>
        <v>0.28681742967457252</v>
      </c>
      <c r="BH59" s="153">
        <f t="shared" si="32"/>
        <v>3566</v>
      </c>
      <c r="BI59" s="153">
        <f t="shared" si="33"/>
        <v>1210</v>
      </c>
      <c r="BJ59" s="154">
        <f t="shared" si="34"/>
        <v>0.3393157599551318</v>
      </c>
      <c r="BK59" s="107">
        <v>3691</v>
      </c>
      <c r="BL59" s="107">
        <v>1035</v>
      </c>
      <c r="BM59" s="108">
        <f t="shared" si="87"/>
        <v>0.28041181251693309</v>
      </c>
      <c r="BN59" s="107">
        <v>1806</v>
      </c>
      <c r="BO59" s="107">
        <v>370</v>
      </c>
      <c r="BP59" s="108">
        <f t="shared" si="35"/>
        <v>0.20487264673311184</v>
      </c>
      <c r="BQ59" s="107">
        <v>1885</v>
      </c>
      <c r="BR59" s="107">
        <v>665</v>
      </c>
      <c r="BS59" s="108">
        <f t="shared" si="36"/>
        <v>0.35278514588859416</v>
      </c>
      <c r="BT59" s="113">
        <v>14168</v>
      </c>
      <c r="BU59" s="113">
        <v>3885</v>
      </c>
      <c r="BV59" s="156">
        <f t="shared" si="37"/>
        <v>0.27420948616600793</v>
      </c>
      <c r="BW59" s="156">
        <f t="shared" si="38"/>
        <v>1</v>
      </c>
      <c r="BX59" s="113">
        <v>13329</v>
      </c>
      <c r="BY59" s="113">
        <v>3780</v>
      </c>
      <c r="BZ59" s="156">
        <f t="shared" si="39"/>
        <v>0.28359216745442267</v>
      </c>
      <c r="CA59" s="156">
        <f t="shared" si="40"/>
        <v>0.97297297297297303</v>
      </c>
      <c r="CB59" s="113">
        <v>141</v>
      </c>
      <c r="CC59" s="113">
        <v>8</v>
      </c>
      <c r="CD59" s="156">
        <f t="shared" si="41"/>
        <v>5.6737588652482268E-2</v>
      </c>
      <c r="CE59" s="156">
        <f t="shared" si="88"/>
        <v>2.059202059202059E-3</v>
      </c>
      <c r="CF59" s="113">
        <v>93</v>
      </c>
      <c r="CG59" s="113">
        <v>21</v>
      </c>
      <c r="CH59" s="156">
        <f t="shared" si="42"/>
        <v>0.22580645161290322</v>
      </c>
      <c r="CI59" s="156">
        <f t="shared" si="43"/>
        <v>5.4054054054054057E-3</v>
      </c>
      <c r="CJ59" s="113">
        <v>79</v>
      </c>
      <c r="CK59" s="113">
        <v>8</v>
      </c>
      <c r="CL59" s="161">
        <f t="shared" si="44"/>
        <v>0.10126582278481013</v>
      </c>
      <c r="CM59" s="156">
        <f t="shared" si="45"/>
        <v>2.059202059202059E-3</v>
      </c>
      <c r="CN59" s="113">
        <v>4</v>
      </c>
      <c r="CO59" s="113">
        <v>0</v>
      </c>
      <c r="CP59" s="161">
        <f t="shared" si="46"/>
        <v>0</v>
      </c>
      <c r="CQ59" s="156">
        <f t="shared" si="47"/>
        <v>0</v>
      </c>
      <c r="CR59" s="105">
        <v>46</v>
      </c>
      <c r="CS59" s="105">
        <v>3</v>
      </c>
      <c r="CT59" s="106">
        <f t="shared" si="48"/>
        <v>6.5217391304347824E-2</v>
      </c>
      <c r="CU59" s="106">
        <f t="shared" si="49"/>
        <v>7.722007722007722E-4</v>
      </c>
      <c r="CV59" s="113">
        <v>201</v>
      </c>
      <c r="CW59" s="113">
        <v>36</v>
      </c>
      <c r="CX59" s="156">
        <f t="shared" si="50"/>
        <v>0.17910447761194029</v>
      </c>
      <c r="CY59" s="156">
        <f t="shared" si="51"/>
        <v>9.2664092664092659E-3</v>
      </c>
      <c r="CZ59" s="113">
        <v>321</v>
      </c>
      <c r="DA59" s="113">
        <v>32</v>
      </c>
      <c r="DB59" s="156">
        <f t="shared" si="52"/>
        <v>9.9688473520249218E-2</v>
      </c>
      <c r="DC59" s="156">
        <f t="shared" si="89"/>
        <v>8.2368082368082362E-3</v>
      </c>
      <c r="DD59" s="107">
        <v>1806</v>
      </c>
      <c r="DE59" s="107">
        <v>170</v>
      </c>
      <c r="DF59" s="107">
        <v>794</v>
      </c>
      <c r="DG59" s="107">
        <v>504</v>
      </c>
      <c r="DH59" s="107">
        <v>338</v>
      </c>
      <c r="DI59" s="149">
        <f t="shared" si="53"/>
        <v>9.413067552602436E-2</v>
      </c>
      <c r="DJ59" s="149">
        <f t="shared" si="54"/>
        <v>0.43964562569213733</v>
      </c>
      <c r="DK59" s="149">
        <f t="shared" si="55"/>
        <v>0.46622369878183834</v>
      </c>
      <c r="DL59" s="107">
        <v>1885</v>
      </c>
      <c r="DM59" s="107">
        <v>112</v>
      </c>
      <c r="DN59" s="107">
        <v>967</v>
      </c>
      <c r="DO59" s="107">
        <v>531</v>
      </c>
      <c r="DP59" s="107">
        <v>275</v>
      </c>
      <c r="DQ59" s="149">
        <f t="shared" si="56"/>
        <v>5.9416445623342175E-2</v>
      </c>
      <c r="DR59" s="149">
        <f t="shared" si="57"/>
        <v>0.51299734748010606</v>
      </c>
      <c r="DS59" s="149">
        <f t="shared" si="58"/>
        <v>0.42758620689655175</v>
      </c>
      <c r="DT59" s="107">
        <f t="shared" si="59"/>
        <v>3691</v>
      </c>
      <c r="DU59" s="107">
        <f t="shared" si="60"/>
        <v>282</v>
      </c>
      <c r="DV59" s="107">
        <f t="shared" si="61"/>
        <v>1761</v>
      </c>
      <c r="DW59" s="107">
        <f t="shared" si="62"/>
        <v>1035</v>
      </c>
      <c r="DX59" s="107">
        <f t="shared" si="63"/>
        <v>613</v>
      </c>
      <c r="DY59" s="108">
        <f t="shared" si="64"/>
        <v>7.6402059062584668E-2</v>
      </c>
      <c r="DZ59" s="108">
        <f t="shared" si="65"/>
        <v>0.47710647520997018</v>
      </c>
      <c r="EA59" s="108">
        <f t="shared" si="66"/>
        <v>0.44649146572744514</v>
      </c>
      <c r="EB59" s="107">
        <v>2426</v>
      </c>
      <c r="EC59" s="110">
        <v>178</v>
      </c>
      <c r="ED59" s="108">
        <f t="shared" si="67"/>
        <v>7.3371805441055232E-2</v>
      </c>
      <c r="EE59" s="107">
        <v>589</v>
      </c>
      <c r="EF59" s="108">
        <f t="shared" si="67"/>
        <v>0.24278647980214343</v>
      </c>
      <c r="EG59" s="107">
        <v>889</v>
      </c>
      <c r="EH59" s="108">
        <f t="shared" ref="EH59" si="461">EG59/$EB59</f>
        <v>0.36644682605111295</v>
      </c>
      <c r="EI59" s="107">
        <v>1228</v>
      </c>
      <c r="EJ59" s="108">
        <f t="shared" ref="EJ59" si="462">EI59/$EB59</f>
        <v>0.50618301731244852</v>
      </c>
      <c r="EK59" s="107">
        <v>1752</v>
      </c>
      <c r="EL59" s="108">
        <f t="shared" ref="EL59" si="463">EK59/$EB59</f>
        <v>0.72217642209398192</v>
      </c>
      <c r="EM59" s="107">
        <v>2074</v>
      </c>
      <c r="EN59" s="108">
        <f t="shared" ref="EN59" si="464">EM59/$EB59</f>
        <v>0.85490519373454243</v>
      </c>
      <c r="EO59" s="163">
        <v>59944</v>
      </c>
      <c r="EP59" s="163">
        <v>46438</v>
      </c>
      <c r="EQ59" s="163">
        <v>86957</v>
      </c>
      <c r="ER59" s="163">
        <v>65392</v>
      </c>
      <c r="ES59" s="163">
        <v>48958</v>
      </c>
      <c r="ET59" s="107">
        <v>1753</v>
      </c>
      <c r="EU59" s="107">
        <v>146</v>
      </c>
      <c r="EV59" s="108">
        <f t="shared" si="72"/>
        <v>8.3285795778665142E-2</v>
      </c>
      <c r="EW59" s="107">
        <v>1813</v>
      </c>
      <c r="EX59" s="107">
        <v>183</v>
      </c>
      <c r="EY59" s="108">
        <f t="shared" si="73"/>
        <v>0.10093767236624379</v>
      </c>
      <c r="EZ59" s="107">
        <f t="shared" si="74"/>
        <v>3566</v>
      </c>
      <c r="FA59" s="107">
        <f t="shared" si="75"/>
        <v>329</v>
      </c>
      <c r="FB59" s="108">
        <f t="shared" si="76"/>
        <v>9.2260235558048229E-2</v>
      </c>
      <c r="FC59" s="107">
        <v>3566</v>
      </c>
      <c r="FD59" s="107">
        <v>329</v>
      </c>
      <c r="FE59" s="108">
        <f t="shared" si="77"/>
        <v>9.2260235558048229E-2</v>
      </c>
      <c r="FF59" s="107">
        <v>790</v>
      </c>
      <c r="FG59" s="108">
        <f t="shared" si="77"/>
        <v>0.22153673583847447</v>
      </c>
      <c r="FH59" s="107">
        <v>1059</v>
      </c>
      <c r="FI59" s="108">
        <f t="shared" ref="FI59" si="465">FH59/$FC59</f>
        <v>0.29697139652271454</v>
      </c>
      <c r="FJ59" s="107">
        <v>1189</v>
      </c>
      <c r="FK59" s="108">
        <f t="shared" ref="FK59" si="466">FJ59/$FC59</f>
        <v>0.33342680874929892</v>
      </c>
      <c r="FL59" s="107">
        <v>1946</v>
      </c>
      <c r="FM59" s="108">
        <f t="shared" ref="FM59" si="467">FL59/$FC59</f>
        <v>0.54570947840717887</v>
      </c>
      <c r="FN59" s="107">
        <v>234</v>
      </c>
      <c r="FO59" s="108">
        <v>0.20598591549295775</v>
      </c>
      <c r="FP59" s="107">
        <v>5</v>
      </c>
      <c r="FQ59" s="108">
        <v>4.4014084507042256E-3</v>
      </c>
      <c r="FR59" s="107">
        <v>65</v>
      </c>
      <c r="FS59" s="108">
        <v>9.7014925373134331E-2</v>
      </c>
      <c r="FT59" s="110">
        <v>0</v>
      </c>
      <c r="FU59" s="108">
        <v>0</v>
      </c>
      <c r="FV59" s="107">
        <v>199</v>
      </c>
      <c r="FW59" s="108">
        <v>0.18341013824884791</v>
      </c>
      <c r="FX59" s="107">
        <v>9</v>
      </c>
      <c r="FY59" s="108">
        <v>8.2949308755760377E-3</v>
      </c>
      <c r="FZ59" s="107">
        <v>7</v>
      </c>
      <c r="GA59" s="108">
        <v>8.7500000000000008E-3</v>
      </c>
      <c r="GB59" s="107">
        <v>0</v>
      </c>
      <c r="GC59" s="108">
        <v>0</v>
      </c>
      <c r="GD59" s="107">
        <v>505</v>
      </c>
      <c r="GE59" s="117">
        <v>0.13681929016526687</v>
      </c>
      <c r="GF59" s="107">
        <v>14</v>
      </c>
      <c r="GG59" s="117">
        <v>3.793010024383636E-3</v>
      </c>
      <c r="GH59" s="107">
        <v>2426</v>
      </c>
      <c r="GI59" s="107">
        <v>420</v>
      </c>
      <c r="GJ59" s="108">
        <f t="shared" si="81"/>
        <v>0.17312448474855729</v>
      </c>
      <c r="GK59" s="107">
        <v>129</v>
      </c>
      <c r="GL59" s="108">
        <f t="shared" si="82"/>
        <v>0.30714285714285716</v>
      </c>
      <c r="GM59" s="107">
        <v>136</v>
      </c>
      <c r="GN59" s="108">
        <f t="shared" si="83"/>
        <v>0.32380952380952382</v>
      </c>
      <c r="GO59" s="107">
        <v>2006</v>
      </c>
      <c r="GP59" s="108">
        <f t="shared" si="84"/>
        <v>0.82687551525144265</v>
      </c>
      <c r="GQ59" s="107">
        <v>1557</v>
      </c>
      <c r="GR59" s="108">
        <f t="shared" si="85"/>
        <v>0.7761714855433699</v>
      </c>
      <c r="GS59" s="107">
        <v>441</v>
      </c>
      <c r="GT59" s="108">
        <f t="shared" si="86"/>
        <v>0.21984047856430708</v>
      </c>
    </row>
    <row r="60" spans="1:202" x14ac:dyDescent="0.25">
      <c r="A60" s="104" t="s">
        <v>232</v>
      </c>
      <c r="B60" s="143">
        <v>96033</v>
      </c>
      <c r="C60" s="143">
        <v>21909</v>
      </c>
      <c r="D60" s="143">
        <v>15362</v>
      </c>
      <c r="E60" s="143">
        <v>5724</v>
      </c>
      <c r="F60" s="143">
        <v>1590</v>
      </c>
      <c r="G60" s="144">
        <f t="shared" si="2"/>
        <v>0.22814032676267534</v>
      </c>
      <c r="H60" s="144">
        <f t="shared" si="3"/>
        <v>0.15996584507408912</v>
      </c>
      <c r="I60" s="144">
        <f t="shared" si="4"/>
        <v>5.9604510949361159E-2</v>
      </c>
      <c r="J60" s="144">
        <f t="shared" si="5"/>
        <v>1.6556808597044767E-2</v>
      </c>
      <c r="K60" s="143">
        <v>7312</v>
      </c>
      <c r="L60" s="145">
        <f t="shared" si="6"/>
        <v>0.47597969014451241</v>
      </c>
      <c r="M60" s="143">
        <v>8050</v>
      </c>
      <c r="N60" s="145">
        <f t="shared" si="7"/>
        <v>0.52402030985548753</v>
      </c>
      <c r="O60" s="148">
        <v>40.4</v>
      </c>
      <c r="P60" s="107">
        <v>37511</v>
      </c>
      <c r="Q60" s="107">
        <v>14379</v>
      </c>
      <c r="R60" s="108">
        <f t="shared" si="8"/>
        <v>0.38332755724987339</v>
      </c>
      <c r="S60" s="107">
        <v>10475</v>
      </c>
      <c r="T60" s="149">
        <f t="shared" si="9"/>
        <v>0.27925141958358879</v>
      </c>
      <c r="U60" s="143">
        <v>7312</v>
      </c>
      <c r="V60" s="107">
        <v>234</v>
      </c>
      <c r="W60" s="108">
        <f t="shared" si="10"/>
        <v>3.2002188183807442E-2</v>
      </c>
      <c r="X60" s="107">
        <v>5249</v>
      </c>
      <c r="Y60" s="150">
        <f t="shared" si="11"/>
        <v>0.71786105032822756</v>
      </c>
      <c r="Z60" s="107">
        <v>216</v>
      </c>
      <c r="AA60" s="108">
        <f t="shared" si="12"/>
        <v>2.9540481400437638E-2</v>
      </c>
      <c r="AB60" s="107">
        <v>657</v>
      </c>
      <c r="AC60" s="108">
        <f t="shared" si="13"/>
        <v>8.9852297592997815E-2</v>
      </c>
      <c r="AD60" s="107">
        <v>956</v>
      </c>
      <c r="AE60" s="108">
        <f t="shared" si="14"/>
        <v>0.13074398249452954</v>
      </c>
      <c r="AF60" s="107">
        <v>8050</v>
      </c>
      <c r="AG60" s="107">
        <v>319</v>
      </c>
      <c r="AH60" s="108">
        <f t="shared" si="15"/>
        <v>3.9627329192546586E-2</v>
      </c>
      <c r="AI60" s="107">
        <v>4139</v>
      </c>
      <c r="AJ60" s="108">
        <f t="shared" si="16"/>
        <v>0.5141614906832298</v>
      </c>
      <c r="AK60" s="107">
        <v>284</v>
      </c>
      <c r="AL60" s="108">
        <f t="shared" si="17"/>
        <v>3.5279503105590061E-2</v>
      </c>
      <c r="AM60" s="107">
        <v>2150</v>
      </c>
      <c r="AN60" s="108">
        <f t="shared" si="18"/>
        <v>0.26708074534161491</v>
      </c>
      <c r="AO60" s="107">
        <v>1158</v>
      </c>
      <c r="AP60" s="108">
        <f t="shared" si="19"/>
        <v>0.14385093167701862</v>
      </c>
      <c r="AQ60" s="107">
        <f t="shared" si="20"/>
        <v>15362</v>
      </c>
      <c r="AR60" s="107">
        <f t="shared" si="21"/>
        <v>553</v>
      </c>
      <c r="AS60" s="108">
        <f t="shared" si="22"/>
        <v>3.5997916937898708E-2</v>
      </c>
      <c r="AT60" s="107">
        <f t="shared" si="23"/>
        <v>9388</v>
      </c>
      <c r="AU60" s="108">
        <f t="shared" si="24"/>
        <v>0.61111834396562947</v>
      </c>
      <c r="AV60" s="107">
        <f t="shared" si="25"/>
        <v>500</v>
      </c>
      <c r="AW60" s="108">
        <f t="shared" si="26"/>
        <v>3.2547845332638978E-2</v>
      </c>
      <c r="AX60" s="107">
        <f t="shared" si="27"/>
        <v>2807</v>
      </c>
      <c r="AY60" s="108">
        <f t="shared" si="28"/>
        <v>0.18272360369743523</v>
      </c>
      <c r="AZ60" s="107">
        <f t="shared" si="29"/>
        <v>2114</v>
      </c>
      <c r="BA60" s="108">
        <f t="shared" si="30"/>
        <v>0.13761229006639761</v>
      </c>
      <c r="BB60" s="111">
        <v>7108</v>
      </c>
      <c r="BC60" s="111">
        <v>2232</v>
      </c>
      <c r="BD60" s="152">
        <f t="shared" si="31"/>
        <v>0.3140123804164322</v>
      </c>
      <c r="BE60" s="111">
        <v>7843</v>
      </c>
      <c r="BF60" s="111">
        <v>1805</v>
      </c>
      <c r="BG60" s="152">
        <f t="shared" si="0"/>
        <v>0.23014152747673083</v>
      </c>
      <c r="BH60" s="153">
        <f t="shared" si="32"/>
        <v>14951</v>
      </c>
      <c r="BI60" s="153">
        <f t="shared" si="33"/>
        <v>4037</v>
      </c>
      <c r="BJ60" s="154">
        <f t="shared" si="34"/>
        <v>0.27001538358638216</v>
      </c>
      <c r="BK60" s="107">
        <v>15362</v>
      </c>
      <c r="BL60" s="107">
        <v>3817</v>
      </c>
      <c r="BM60" s="108">
        <f t="shared" si="87"/>
        <v>0.24847025126936598</v>
      </c>
      <c r="BN60" s="107">
        <v>7312</v>
      </c>
      <c r="BO60" s="107">
        <v>1190</v>
      </c>
      <c r="BP60" s="108">
        <f t="shared" si="35"/>
        <v>0.16274617067833699</v>
      </c>
      <c r="BQ60" s="107">
        <v>8050</v>
      </c>
      <c r="BR60" s="107">
        <v>2627</v>
      </c>
      <c r="BS60" s="108">
        <f t="shared" si="36"/>
        <v>0.32633540372670805</v>
      </c>
      <c r="BT60" s="113">
        <v>97954</v>
      </c>
      <c r="BU60" s="113">
        <v>17021</v>
      </c>
      <c r="BV60" s="156">
        <f t="shared" si="37"/>
        <v>0.1737652367437777</v>
      </c>
      <c r="BW60" s="156">
        <f t="shared" si="38"/>
        <v>1</v>
      </c>
      <c r="BX60" s="113">
        <v>90514</v>
      </c>
      <c r="BY60" s="113">
        <v>16585</v>
      </c>
      <c r="BZ60" s="156">
        <f t="shared" si="39"/>
        <v>0.18323132333119738</v>
      </c>
      <c r="CA60" s="156">
        <f t="shared" si="40"/>
        <v>0.97438458374948589</v>
      </c>
      <c r="CB60" s="113">
        <v>780</v>
      </c>
      <c r="CC60" s="113">
        <v>54</v>
      </c>
      <c r="CD60" s="156">
        <f t="shared" si="41"/>
        <v>6.9230769230769235E-2</v>
      </c>
      <c r="CE60" s="156">
        <f t="shared" si="88"/>
        <v>3.172551553962752E-3</v>
      </c>
      <c r="CF60" s="113">
        <v>339</v>
      </c>
      <c r="CG60" s="113">
        <v>59</v>
      </c>
      <c r="CH60" s="156">
        <f t="shared" si="42"/>
        <v>0.17404129793510326</v>
      </c>
      <c r="CI60" s="156">
        <f t="shared" si="43"/>
        <v>3.4663063274778215E-3</v>
      </c>
      <c r="CJ60" s="113">
        <v>1284</v>
      </c>
      <c r="CK60" s="113">
        <v>93</v>
      </c>
      <c r="CL60" s="161">
        <f t="shared" si="44"/>
        <v>7.2429906542056069E-2</v>
      </c>
      <c r="CM60" s="156">
        <f t="shared" si="45"/>
        <v>5.463838787380295E-3</v>
      </c>
      <c r="CN60" s="113">
        <v>35</v>
      </c>
      <c r="CO60" s="113">
        <v>10</v>
      </c>
      <c r="CP60" s="161">
        <f t="shared" si="46"/>
        <v>0.2857142857142857</v>
      </c>
      <c r="CQ60" s="156">
        <f t="shared" si="47"/>
        <v>5.8750954703013923E-4</v>
      </c>
      <c r="CR60" s="105">
        <v>133</v>
      </c>
      <c r="CS60" s="105">
        <v>0</v>
      </c>
      <c r="CT60" s="106">
        <f t="shared" si="48"/>
        <v>0</v>
      </c>
      <c r="CU60" s="106">
        <f t="shared" si="49"/>
        <v>0</v>
      </c>
      <c r="CV60" s="113">
        <v>1786</v>
      </c>
      <c r="CW60" s="113">
        <v>59</v>
      </c>
      <c r="CX60" s="156">
        <f t="shared" si="50"/>
        <v>3.3034714445688687E-2</v>
      </c>
      <c r="CY60" s="156">
        <f t="shared" si="51"/>
        <v>3.4663063274778215E-3</v>
      </c>
      <c r="CZ60" s="113">
        <v>3216</v>
      </c>
      <c r="DA60" s="113">
        <v>161</v>
      </c>
      <c r="DB60" s="156">
        <f t="shared" si="52"/>
        <v>5.0062189054726369E-2</v>
      </c>
      <c r="DC60" s="156">
        <f t="shared" si="89"/>
        <v>9.4589037071852421E-3</v>
      </c>
      <c r="DD60" s="107">
        <v>7312</v>
      </c>
      <c r="DE60" s="107">
        <v>306</v>
      </c>
      <c r="DF60" s="107">
        <v>2231</v>
      </c>
      <c r="DG60" s="107">
        <v>2197</v>
      </c>
      <c r="DH60" s="107">
        <v>2578</v>
      </c>
      <c r="DI60" s="149">
        <f t="shared" si="53"/>
        <v>4.1849015317286652E-2</v>
      </c>
      <c r="DJ60" s="149">
        <f t="shared" si="54"/>
        <v>0.30511487964989059</v>
      </c>
      <c r="DK60" s="149">
        <f t="shared" si="55"/>
        <v>0.65303610503282272</v>
      </c>
      <c r="DL60" s="107">
        <v>8050</v>
      </c>
      <c r="DM60" s="107">
        <v>120</v>
      </c>
      <c r="DN60" s="107">
        <v>3443</v>
      </c>
      <c r="DO60" s="107">
        <v>2508</v>
      </c>
      <c r="DP60" s="107">
        <v>1979</v>
      </c>
      <c r="DQ60" s="149">
        <f t="shared" si="56"/>
        <v>1.4906832298136646E-2</v>
      </c>
      <c r="DR60" s="149">
        <f t="shared" si="57"/>
        <v>0.42770186335403726</v>
      </c>
      <c r="DS60" s="149">
        <f t="shared" si="58"/>
        <v>0.55739130434782613</v>
      </c>
      <c r="DT60" s="107">
        <f t="shared" si="59"/>
        <v>15362</v>
      </c>
      <c r="DU60" s="107">
        <f t="shared" si="60"/>
        <v>426</v>
      </c>
      <c r="DV60" s="107">
        <f t="shared" si="61"/>
        <v>5674</v>
      </c>
      <c r="DW60" s="107">
        <f t="shared" si="62"/>
        <v>4705</v>
      </c>
      <c r="DX60" s="107">
        <f t="shared" si="63"/>
        <v>4557</v>
      </c>
      <c r="DY60" s="108">
        <f t="shared" si="64"/>
        <v>2.7730764223408411E-2</v>
      </c>
      <c r="DZ60" s="108">
        <f t="shared" si="65"/>
        <v>0.36935294883478714</v>
      </c>
      <c r="EA60" s="108">
        <f t="shared" si="66"/>
        <v>0.60291628694180444</v>
      </c>
      <c r="EB60" s="107">
        <v>9314</v>
      </c>
      <c r="EC60" s="110">
        <v>655</v>
      </c>
      <c r="ED60" s="108">
        <f t="shared" si="67"/>
        <v>7.0324243074940951E-2</v>
      </c>
      <c r="EE60" s="107">
        <v>1570</v>
      </c>
      <c r="EF60" s="108">
        <f t="shared" si="67"/>
        <v>0.16856345286665236</v>
      </c>
      <c r="EG60" s="107">
        <v>2482</v>
      </c>
      <c r="EH60" s="108">
        <f t="shared" ref="EH60" si="468">EG60/$EB60</f>
        <v>0.26648056688855487</v>
      </c>
      <c r="EI60" s="107">
        <v>3492</v>
      </c>
      <c r="EJ60" s="108">
        <f t="shared" ref="EJ60" si="469">EI60/$EB60</f>
        <v>0.37491947605754777</v>
      </c>
      <c r="EK60" s="107">
        <v>5459</v>
      </c>
      <c r="EL60" s="108">
        <f t="shared" ref="EL60" si="470">EK60/$EB60</f>
        <v>0.5861069357955766</v>
      </c>
      <c r="EM60" s="107">
        <v>6847</v>
      </c>
      <c r="EN60" s="108">
        <f t="shared" ref="EN60" si="471">EM60/$EB60</f>
        <v>0.7351299119604896</v>
      </c>
      <c r="EO60" s="163">
        <v>103046</v>
      </c>
      <c r="EP60" s="163">
        <v>64953</v>
      </c>
      <c r="EQ60" s="163">
        <v>121436</v>
      </c>
      <c r="ER60" s="163">
        <v>120293</v>
      </c>
      <c r="ES60" s="163">
        <v>63226</v>
      </c>
      <c r="ET60" s="107">
        <v>7108</v>
      </c>
      <c r="EU60" s="107">
        <v>521</v>
      </c>
      <c r="EV60" s="108">
        <f t="shared" si="72"/>
        <v>7.3297692740574003E-2</v>
      </c>
      <c r="EW60" s="107">
        <v>7843</v>
      </c>
      <c r="EX60" s="107">
        <v>636</v>
      </c>
      <c r="EY60" s="108">
        <f t="shared" si="73"/>
        <v>8.109141909983425E-2</v>
      </c>
      <c r="EZ60" s="107">
        <f t="shared" si="74"/>
        <v>14951</v>
      </c>
      <c r="FA60" s="107">
        <f t="shared" si="75"/>
        <v>1157</v>
      </c>
      <c r="FB60" s="108">
        <f t="shared" si="76"/>
        <v>7.7386128018192765E-2</v>
      </c>
      <c r="FC60" s="107">
        <v>14951</v>
      </c>
      <c r="FD60" s="107">
        <v>1157</v>
      </c>
      <c r="FE60" s="108">
        <f t="shared" si="77"/>
        <v>7.7386128018192765E-2</v>
      </c>
      <c r="FF60" s="107">
        <v>2253</v>
      </c>
      <c r="FG60" s="108">
        <f t="shared" si="77"/>
        <v>0.15069226138719818</v>
      </c>
      <c r="FH60" s="107">
        <v>3054</v>
      </c>
      <c r="FI60" s="108">
        <f t="shared" ref="FI60" si="472">FH60/$FC60</f>
        <v>0.20426727309210085</v>
      </c>
      <c r="FJ60" s="107">
        <v>3280</v>
      </c>
      <c r="FK60" s="108">
        <f t="shared" ref="FK60" si="473">FJ60/$FC60</f>
        <v>0.21938331884154905</v>
      </c>
      <c r="FL60" s="107">
        <v>5484</v>
      </c>
      <c r="FM60" s="108">
        <f t="shared" ref="FM60" si="474">FL60/$FC60</f>
        <v>0.36679820747776071</v>
      </c>
      <c r="FN60" s="107">
        <v>1103</v>
      </c>
      <c r="FO60" s="108">
        <v>0.23172268907563026</v>
      </c>
      <c r="FP60" s="107">
        <v>1</v>
      </c>
      <c r="FQ60" s="108">
        <v>2.1008403361344539E-4</v>
      </c>
      <c r="FR60" s="107">
        <v>138</v>
      </c>
      <c r="FS60" s="108">
        <v>5.4075235109717866E-2</v>
      </c>
      <c r="FT60" s="110">
        <v>0</v>
      </c>
      <c r="FU60" s="108">
        <v>0</v>
      </c>
      <c r="FV60" s="107">
        <v>744</v>
      </c>
      <c r="FW60" s="108">
        <v>0.15252152521525214</v>
      </c>
      <c r="FX60" s="107">
        <v>6</v>
      </c>
      <c r="FY60" s="108">
        <v>1.2300123001230013E-3</v>
      </c>
      <c r="FZ60" s="107">
        <v>104</v>
      </c>
      <c r="GA60" s="108">
        <v>3.2786885245901641E-2</v>
      </c>
      <c r="GB60" s="107">
        <v>0</v>
      </c>
      <c r="GC60" s="108">
        <v>0</v>
      </c>
      <c r="GD60" s="107">
        <v>2089</v>
      </c>
      <c r="GE60" s="117">
        <v>0.13598489779976566</v>
      </c>
      <c r="GF60" s="107">
        <v>7</v>
      </c>
      <c r="GG60" s="117">
        <v>4.5566983465694574E-4</v>
      </c>
      <c r="GH60" s="107">
        <v>9314</v>
      </c>
      <c r="GI60" s="107">
        <v>1871</v>
      </c>
      <c r="GJ60" s="108">
        <f t="shared" si="81"/>
        <v>0.20088039510414429</v>
      </c>
      <c r="GK60" s="107">
        <v>721</v>
      </c>
      <c r="GL60" s="108">
        <f t="shared" si="82"/>
        <v>0.38535542490646713</v>
      </c>
      <c r="GM60" s="107">
        <v>1008</v>
      </c>
      <c r="GN60" s="108">
        <f t="shared" si="83"/>
        <v>0.53874933190807051</v>
      </c>
      <c r="GO60" s="107">
        <v>7443</v>
      </c>
      <c r="GP60" s="108">
        <f t="shared" si="84"/>
        <v>0.79911960489585565</v>
      </c>
      <c r="GQ60" s="107">
        <v>5385</v>
      </c>
      <c r="GR60" s="108">
        <f t="shared" si="85"/>
        <v>0.72349858927851673</v>
      </c>
      <c r="GS60" s="107">
        <v>2043</v>
      </c>
      <c r="GT60" s="108">
        <f t="shared" si="86"/>
        <v>0.27448609431680776</v>
      </c>
    </row>
    <row r="61" spans="1:202" x14ac:dyDescent="0.25">
      <c r="A61" s="104" t="s">
        <v>233</v>
      </c>
      <c r="B61" s="143">
        <v>66009</v>
      </c>
      <c r="C61" s="143">
        <v>17789</v>
      </c>
      <c r="D61" s="143">
        <v>13140</v>
      </c>
      <c r="E61" s="143">
        <v>5286</v>
      </c>
      <c r="F61" s="143">
        <v>1658</v>
      </c>
      <c r="G61" s="144">
        <f t="shared" si="2"/>
        <v>0.2694935539093154</v>
      </c>
      <c r="H61" s="144">
        <f t="shared" si="3"/>
        <v>0.19906376403217743</v>
      </c>
      <c r="I61" s="144">
        <f t="shared" si="4"/>
        <v>8.0079989092396497E-2</v>
      </c>
      <c r="J61" s="144">
        <f t="shared" si="5"/>
        <v>2.5117786968443696E-2</v>
      </c>
      <c r="K61" s="143">
        <v>6104</v>
      </c>
      <c r="L61" s="145">
        <f t="shared" si="6"/>
        <v>0.46453576864535767</v>
      </c>
      <c r="M61" s="143">
        <v>7036</v>
      </c>
      <c r="N61" s="145">
        <f t="shared" si="7"/>
        <v>0.53546423135464227</v>
      </c>
      <c r="O61" s="148">
        <v>41.6</v>
      </c>
      <c r="P61" s="107">
        <v>27987</v>
      </c>
      <c r="Q61" s="107">
        <v>12112</v>
      </c>
      <c r="R61" s="108">
        <f t="shared" si="8"/>
        <v>0.43277235859506197</v>
      </c>
      <c r="S61" s="107">
        <v>9295</v>
      </c>
      <c r="T61" s="149">
        <f t="shared" si="9"/>
        <v>0.3321184835816629</v>
      </c>
      <c r="U61" s="143">
        <v>6104</v>
      </c>
      <c r="V61" s="107">
        <v>384</v>
      </c>
      <c r="W61" s="108">
        <f t="shared" si="10"/>
        <v>6.2909567496723454E-2</v>
      </c>
      <c r="X61" s="107">
        <v>4132</v>
      </c>
      <c r="Y61" s="150">
        <f t="shared" si="11"/>
        <v>0.67693315858453473</v>
      </c>
      <c r="Z61" s="107">
        <v>133</v>
      </c>
      <c r="AA61" s="108">
        <f t="shared" si="12"/>
        <v>2.1788990825688075E-2</v>
      </c>
      <c r="AB61" s="107">
        <v>631</v>
      </c>
      <c r="AC61" s="108">
        <f t="shared" si="13"/>
        <v>0.10337483617300131</v>
      </c>
      <c r="AD61" s="107">
        <v>824</v>
      </c>
      <c r="AE61" s="108">
        <f t="shared" si="14"/>
        <v>0.13499344692005241</v>
      </c>
      <c r="AF61" s="107">
        <v>7036</v>
      </c>
      <c r="AG61" s="107">
        <v>248</v>
      </c>
      <c r="AH61" s="108">
        <f t="shared" si="15"/>
        <v>3.5247299602046617E-2</v>
      </c>
      <c r="AI61" s="107">
        <v>3380</v>
      </c>
      <c r="AJ61" s="108">
        <f t="shared" si="16"/>
        <v>0.48038658328595796</v>
      </c>
      <c r="AK61" s="107">
        <v>369</v>
      </c>
      <c r="AL61" s="108">
        <f t="shared" si="17"/>
        <v>5.2444570778851618E-2</v>
      </c>
      <c r="AM61" s="107">
        <v>1807</v>
      </c>
      <c r="AN61" s="108">
        <f t="shared" si="18"/>
        <v>0.25682205798749291</v>
      </c>
      <c r="AO61" s="107">
        <v>1232</v>
      </c>
      <c r="AP61" s="108">
        <f t="shared" si="19"/>
        <v>0.17509948834565095</v>
      </c>
      <c r="AQ61" s="107">
        <f t="shared" si="20"/>
        <v>13140</v>
      </c>
      <c r="AR61" s="107">
        <f t="shared" si="21"/>
        <v>632</v>
      </c>
      <c r="AS61" s="108">
        <f t="shared" si="22"/>
        <v>4.8097412480974128E-2</v>
      </c>
      <c r="AT61" s="107">
        <f t="shared" si="23"/>
        <v>7512</v>
      </c>
      <c r="AU61" s="108">
        <f t="shared" si="24"/>
        <v>0.57168949771689492</v>
      </c>
      <c r="AV61" s="107">
        <f t="shared" si="25"/>
        <v>502</v>
      </c>
      <c r="AW61" s="108">
        <f t="shared" si="26"/>
        <v>3.8203957382039577E-2</v>
      </c>
      <c r="AX61" s="107">
        <f t="shared" si="27"/>
        <v>2438</v>
      </c>
      <c r="AY61" s="108">
        <f t="shared" si="28"/>
        <v>0.18554033485540336</v>
      </c>
      <c r="AZ61" s="107">
        <f t="shared" si="29"/>
        <v>2056</v>
      </c>
      <c r="BA61" s="108">
        <f t="shared" si="30"/>
        <v>0.15646879756468798</v>
      </c>
      <c r="BB61" s="111">
        <v>5994</v>
      </c>
      <c r="BC61" s="111">
        <v>1894</v>
      </c>
      <c r="BD61" s="152">
        <f t="shared" si="31"/>
        <v>0.31598264931598263</v>
      </c>
      <c r="BE61" s="111">
        <v>6823</v>
      </c>
      <c r="BF61" s="111">
        <v>1942</v>
      </c>
      <c r="BG61" s="152">
        <f t="shared" si="0"/>
        <v>0.28462553129122087</v>
      </c>
      <c r="BH61" s="153">
        <f t="shared" si="32"/>
        <v>12817</v>
      </c>
      <c r="BI61" s="153">
        <f t="shared" si="33"/>
        <v>3836</v>
      </c>
      <c r="BJ61" s="154">
        <f t="shared" si="34"/>
        <v>0.29929000546149648</v>
      </c>
      <c r="BK61" s="107">
        <v>13140</v>
      </c>
      <c r="BL61" s="107">
        <v>3482</v>
      </c>
      <c r="BM61" s="108">
        <f t="shared" si="87"/>
        <v>0.26499238964992389</v>
      </c>
      <c r="BN61" s="107">
        <v>6104</v>
      </c>
      <c r="BO61" s="107">
        <v>1280</v>
      </c>
      <c r="BP61" s="108">
        <f t="shared" si="35"/>
        <v>0.20969855832241152</v>
      </c>
      <c r="BQ61" s="107">
        <v>7036</v>
      </c>
      <c r="BR61" s="107">
        <v>2202</v>
      </c>
      <c r="BS61" s="108">
        <f t="shared" si="36"/>
        <v>0.31296191017623648</v>
      </c>
      <c r="BT61" s="113">
        <v>66486</v>
      </c>
      <c r="BU61" s="113">
        <v>13982</v>
      </c>
      <c r="BV61" s="156">
        <f t="shared" si="37"/>
        <v>0.21029991276358934</v>
      </c>
      <c r="BW61" s="156">
        <f t="shared" si="38"/>
        <v>1</v>
      </c>
      <c r="BX61" s="113">
        <v>58546</v>
      </c>
      <c r="BY61" s="113">
        <v>13516</v>
      </c>
      <c r="BZ61" s="156">
        <f t="shared" si="39"/>
        <v>0.23086120315649233</v>
      </c>
      <c r="CA61" s="156">
        <f t="shared" si="40"/>
        <v>0.96667143470175942</v>
      </c>
      <c r="CB61" s="113">
        <v>843</v>
      </c>
      <c r="CC61" s="113">
        <v>50</v>
      </c>
      <c r="CD61" s="156">
        <f t="shared" si="41"/>
        <v>5.9311981020166077E-2</v>
      </c>
      <c r="CE61" s="156">
        <f t="shared" si="88"/>
        <v>3.576026319553712E-3</v>
      </c>
      <c r="CF61" s="113">
        <v>708</v>
      </c>
      <c r="CG61" s="113">
        <v>79</v>
      </c>
      <c r="CH61" s="156">
        <f t="shared" si="42"/>
        <v>0.1115819209039548</v>
      </c>
      <c r="CI61" s="156">
        <f t="shared" si="43"/>
        <v>5.6501215848948644E-3</v>
      </c>
      <c r="CJ61" s="113">
        <v>432</v>
      </c>
      <c r="CK61" s="113">
        <v>49</v>
      </c>
      <c r="CL61" s="161">
        <f t="shared" si="44"/>
        <v>0.11342592592592593</v>
      </c>
      <c r="CM61" s="156">
        <f t="shared" si="45"/>
        <v>3.5045057931626378E-3</v>
      </c>
      <c r="CN61" s="113">
        <v>30</v>
      </c>
      <c r="CO61" s="113">
        <v>2</v>
      </c>
      <c r="CP61" s="161">
        <f t="shared" si="46"/>
        <v>6.6666666666666666E-2</v>
      </c>
      <c r="CQ61" s="156">
        <f t="shared" si="47"/>
        <v>1.4304105278214847E-4</v>
      </c>
      <c r="CR61" s="105">
        <v>946</v>
      </c>
      <c r="CS61" s="105">
        <v>12</v>
      </c>
      <c r="CT61" s="106">
        <f t="shared" si="48"/>
        <v>1.2684989429175475E-2</v>
      </c>
      <c r="CU61" s="106">
        <f t="shared" si="49"/>
        <v>8.5824631669289089E-4</v>
      </c>
      <c r="CV61" s="113">
        <v>852</v>
      </c>
      <c r="CW61" s="113">
        <v>66</v>
      </c>
      <c r="CX61" s="156">
        <f t="shared" si="50"/>
        <v>7.746478873239436E-2</v>
      </c>
      <c r="CY61" s="156">
        <f t="shared" si="51"/>
        <v>4.7203547418108996E-3</v>
      </c>
      <c r="CZ61" s="113">
        <v>5075</v>
      </c>
      <c r="DA61" s="113">
        <v>220</v>
      </c>
      <c r="DB61" s="156">
        <f t="shared" si="52"/>
        <v>4.3349753694581279E-2</v>
      </c>
      <c r="DC61" s="156">
        <f t="shared" si="89"/>
        <v>1.5734515806036332E-2</v>
      </c>
      <c r="DD61" s="107">
        <v>6104</v>
      </c>
      <c r="DE61" s="107">
        <v>415</v>
      </c>
      <c r="DF61" s="107">
        <v>2262</v>
      </c>
      <c r="DG61" s="107">
        <v>1799</v>
      </c>
      <c r="DH61" s="107">
        <v>1628</v>
      </c>
      <c r="DI61" s="149">
        <f t="shared" si="53"/>
        <v>6.7988204456094367E-2</v>
      </c>
      <c r="DJ61" s="149">
        <f t="shared" si="54"/>
        <v>0.37057667103538661</v>
      </c>
      <c r="DK61" s="149">
        <f t="shared" si="55"/>
        <v>0.56143512450851896</v>
      </c>
      <c r="DL61" s="107">
        <v>7036</v>
      </c>
      <c r="DM61" s="107">
        <v>585</v>
      </c>
      <c r="DN61" s="107">
        <v>2904</v>
      </c>
      <c r="DO61" s="107">
        <v>2025</v>
      </c>
      <c r="DP61" s="107">
        <v>1522</v>
      </c>
      <c r="DQ61" s="149">
        <f t="shared" si="56"/>
        <v>8.3143831722569644E-2</v>
      </c>
      <c r="DR61" s="149">
        <f t="shared" si="57"/>
        <v>0.41273450824332009</v>
      </c>
      <c r="DS61" s="149">
        <f t="shared" si="58"/>
        <v>0.5041216600341103</v>
      </c>
      <c r="DT61" s="107">
        <f t="shared" si="59"/>
        <v>13140</v>
      </c>
      <c r="DU61" s="107">
        <f t="shared" si="60"/>
        <v>1000</v>
      </c>
      <c r="DV61" s="107">
        <f t="shared" si="61"/>
        <v>5166</v>
      </c>
      <c r="DW61" s="107">
        <f t="shared" si="62"/>
        <v>3824</v>
      </c>
      <c r="DX61" s="107">
        <f t="shared" si="63"/>
        <v>3150</v>
      </c>
      <c r="DY61" s="108">
        <f t="shared" si="64"/>
        <v>7.6103500761035003E-2</v>
      </c>
      <c r="DZ61" s="108">
        <f t="shared" si="65"/>
        <v>0.39315068493150684</v>
      </c>
      <c r="EA61" s="108">
        <f t="shared" si="66"/>
        <v>0.53074581430745815</v>
      </c>
      <c r="EB61" s="107">
        <v>8241</v>
      </c>
      <c r="EC61" s="110">
        <v>670</v>
      </c>
      <c r="ED61" s="108">
        <f t="shared" si="67"/>
        <v>8.1300813008130079E-2</v>
      </c>
      <c r="EE61" s="107">
        <v>1711</v>
      </c>
      <c r="EF61" s="108">
        <f t="shared" si="67"/>
        <v>0.20762043441329936</v>
      </c>
      <c r="EG61" s="107">
        <v>2456</v>
      </c>
      <c r="EH61" s="108">
        <f t="shared" ref="EH61" si="475">EG61/$EB61</f>
        <v>0.29802208469845892</v>
      </c>
      <c r="EI61" s="107">
        <v>3481</v>
      </c>
      <c r="EJ61" s="108">
        <f t="shared" ref="EJ61" si="476">EI61/$EB61</f>
        <v>0.42240019415119523</v>
      </c>
      <c r="EK61" s="107">
        <v>5073</v>
      </c>
      <c r="EL61" s="108">
        <f t="shared" ref="EL61" si="477">EK61/$EB61</f>
        <v>0.61558063341827451</v>
      </c>
      <c r="EM61" s="107">
        <v>6447</v>
      </c>
      <c r="EN61" s="108">
        <f t="shared" ref="EN61" si="478">EM61/$EB61</f>
        <v>0.78230797233345473</v>
      </c>
      <c r="EO61" s="163">
        <v>79541</v>
      </c>
      <c r="EP61" s="163">
        <v>51289</v>
      </c>
      <c r="EQ61" s="163">
        <v>85557</v>
      </c>
      <c r="ER61" s="163">
        <v>100559</v>
      </c>
      <c r="ES61" s="163">
        <v>59224</v>
      </c>
      <c r="ET61" s="107">
        <v>5994</v>
      </c>
      <c r="EU61" s="107">
        <v>330</v>
      </c>
      <c r="EV61" s="108">
        <f t="shared" si="72"/>
        <v>5.5055055055055056E-2</v>
      </c>
      <c r="EW61" s="107">
        <v>6823</v>
      </c>
      <c r="EX61" s="107">
        <v>716</v>
      </c>
      <c r="EY61" s="108">
        <f t="shared" si="73"/>
        <v>0.10493917631540378</v>
      </c>
      <c r="EZ61" s="107">
        <f t="shared" si="74"/>
        <v>12817</v>
      </c>
      <c r="FA61" s="107">
        <f t="shared" si="75"/>
        <v>1046</v>
      </c>
      <c r="FB61" s="108">
        <f t="shared" si="76"/>
        <v>8.1610361238979481E-2</v>
      </c>
      <c r="FC61" s="107">
        <v>12817</v>
      </c>
      <c r="FD61" s="107">
        <v>1046</v>
      </c>
      <c r="FE61" s="108">
        <f t="shared" si="77"/>
        <v>8.1610361238979481E-2</v>
      </c>
      <c r="FF61" s="107">
        <v>2045</v>
      </c>
      <c r="FG61" s="108">
        <f t="shared" si="77"/>
        <v>0.15955371771865492</v>
      </c>
      <c r="FH61" s="107">
        <v>3021</v>
      </c>
      <c r="FI61" s="108">
        <f t="shared" ref="FI61" si="479">FH61/$FC61</f>
        <v>0.23570258250760709</v>
      </c>
      <c r="FJ61" s="107">
        <v>3256</v>
      </c>
      <c r="FK61" s="108">
        <f t="shared" ref="FK61" si="480">FJ61/$FC61</f>
        <v>0.25403760630412731</v>
      </c>
      <c r="FL61" s="107">
        <v>5268</v>
      </c>
      <c r="FM61" s="108">
        <f t="shared" ref="FM61" si="481">FL61/$FC61</f>
        <v>0.41101661855348365</v>
      </c>
      <c r="FN61" s="107">
        <v>1350</v>
      </c>
      <c r="FO61" s="108">
        <v>0.35101404056162244</v>
      </c>
      <c r="FP61" s="107">
        <v>3</v>
      </c>
      <c r="FQ61" s="108">
        <v>7.8003120124804995E-4</v>
      </c>
      <c r="FR61" s="107">
        <v>202</v>
      </c>
      <c r="FS61" s="108">
        <v>8.9459698848538535E-2</v>
      </c>
      <c r="FT61" s="110">
        <v>1</v>
      </c>
      <c r="FU61" s="108">
        <v>4.4286979627989372E-4</v>
      </c>
      <c r="FV61" s="107">
        <v>1234</v>
      </c>
      <c r="FW61" s="108">
        <v>0.30788423153692612</v>
      </c>
      <c r="FX61" s="107">
        <v>3</v>
      </c>
      <c r="FY61" s="108">
        <v>7.4850299401197609E-4</v>
      </c>
      <c r="FZ61" s="107">
        <v>83</v>
      </c>
      <c r="GA61" s="108">
        <v>2.7410832232496699E-2</v>
      </c>
      <c r="GB61" s="107">
        <v>0</v>
      </c>
      <c r="GC61" s="108">
        <v>0</v>
      </c>
      <c r="GD61" s="107">
        <v>2869</v>
      </c>
      <c r="GE61" s="117">
        <v>0.21834094368340945</v>
      </c>
      <c r="GF61" s="107">
        <v>7</v>
      </c>
      <c r="GG61" s="117">
        <v>5.3272450532724505E-4</v>
      </c>
      <c r="GH61" s="107">
        <v>8241</v>
      </c>
      <c r="GI61" s="107">
        <v>1691</v>
      </c>
      <c r="GJ61" s="108">
        <f t="shared" si="81"/>
        <v>0.20519354447275817</v>
      </c>
      <c r="GK61" s="107">
        <v>542</v>
      </c>
      <c r="GL61" s="108">
        <f t="shared" si="82"/>
        <v>0.3205204021289178</v>
      </c>
      <c r="GM61" s="107">
        <v>1015</v>
      </c>
      <c r="GN61" s="108">
        <f t="shared" si="83"/>
        <v>0.60023654642223534</v>
      </c>
      <c r="GO61" s="107">
        <v>6550</v>
      </c>
      <c r="GP61" s="108">
        <f t="shared" si="84"/>
        <v>0.79480645552724183</v>
      </c>
      <c r="GQ61" s="107">
        <v>5133</v>
      </c>
      <c r="GR61" s="108">
        <f t="shared" si="85"/>
        <v>0.78366412213740455</v>
      </c>
      <c r="GS61" s="107">
        <v>1371</v>
      </c>
      <c r="GT61" s="108">
        <f t="shared" si="86"/>
        <v>0.20931297709923663</v>
      </c>
    </row>
    <row r="62" spans="1:202" x14ac:dyDescent="0.25">
      <c r="A62" s="104" t="s">
        <v>234</v>
      </c>
      <c r="B62" s="143">
        <v>18476</v>
      </c>
      <c r="C62" s="143">
        <v>7278</v>
      </c>
      <c r="D62" s="143">
        <v>5271</v>
      </c>
      <c r="E62" s="143">
        <v>1953</v>
      </c>
      <c r="F62" s="143">
        <v>526</v>
      </c>
      <c r="G62" s="144">
        <f t="shared" si="2"/>
        <v>0.39391643212816629</v>
      </c>
      <c r="H62" s="144">
        <f t="shared" si="3"/>
        <v>0.28528902359818142</v>
      </c>
      <c r="I62" s="144">
        <f t="shared" si="4"/>
        <v>0.10570469798657718</v>
      </c>
      <c r="J62" s="144">
        <f t="shared" si="5"/>
        <v>2.8469365663563541E-2</v>
      </c>
      <c r="K62" s="143">
        <v>2637</v>
      </c>
      <c r="L62" s="145">
        <f t="shared" si="6"/>
        <v>0.50028457598178711</v>
      </c>
      <c r="M62" s="143">
        <v>2634</v>
      </c>
      <c r="N62" s="145">
        <f t="shared" si="7"/>
        <v>0.49971542401821284</v>
      </c>
      <c r="O62" s="148">
        <v>52.8</v>
      </c>
      <c r="P62" s="107">
        <v>8810</v>
      </c>
      <c r="Q62" s="107">
        <v>4952</v>
      </c>
      <c r="R62" s="108">
        <f t="shared" si="8"/>
        <v>0.56208853575482409</v>
      </c>
      <c r="S62" s="107">
        <v>3874</v>
      </c>
      <c r="T62" s="149">
        <f t="shared" si="9"/>
        <v>0.43972758229284903</v>
      </c>
      <c r="U62" s="143">
        <v>2637</v>
      </c>
      <c r="V62" s="107">
        <v>212</v>
      </c>
      <c r="W62" s="108">
        <f t="shared" si="10"/>
        <v>8.0394387561623051E-2</v>
      </c>
      <c r="X62" s="107">
        <v>1728</v>
      </c>
      <c r="Y62" s="150">
        <f t="shared" si="11"/>
        <v>0.65529010238907848</v>
      </c>
      <c r="Z62" s="107">
        <v>120</v>
      </c>
      <c r="AA62" s="108">
        <f t="shared" si="12"/>
        <v>4.5506257110352673E-2</v>
      </c>
      <c r="AB62" s="107">
        <v>253</v>
      </c>
      <c r="AC62" s="108">
        <f t="shared" si="13"/>
        <v>9.594235874099355E-2</v>
      </c>
      <c r="AD62" s="107">
        <v>324</v>
      </c>
      <c r="AE62" s="108">
        <f t="shared" si="14"/>
        <v>0.12286689419795221</v>
      </c>
      <c r="AF62" s="107">
        <v>2634</v>
      </c>
      <c r="AG62" s="107">
        <v>151</v>
      </c>
      <c r="AH62" s="108">
        <f t="shared" si="15"/>
        <v>5.7327258921791954E-2</v>
      </c>
      <c r="AI62" s="107">
        <v>1275</v>
      </c>
      <c r="AJ62" s="108">
        <f t="shared" si="16"/>
        <v>0.48405466970387245</v>
      </c>
      <c r="AK62" s="107">
        <v>123</v>
      </c>
      <c r="AL62" s="108">
        <f t="shared" si="17"/>
        <v>4.6697038724373578E-2</v>
      </c>
      <c r="AM62" s="107">
        <v>763</v>
      </c>
      <c r="AN62" s="108">
        <f t="shared" si="18"/>
        <v>0.28967350037965073</v>
      </c>
      <c r="AO62" s="107">
        <v>322</v>
      </c>
      <c r="AP62" s="108">
        <f t="shared" si="19"/>
        <v>0.12224753227031131</v>
      </c>
      <c r="AQ62" s="107">
        <f t="shared" si="20"/>
        <v>5271</v>
      </c>
      <c r="AR62" s="107">
        <f t="shared" si="21"/>
        <v>363</v>
      </c>
      <c r="AS62" s="108">
        <f t="shared" si="22"/>
        <v>6.88673875924872E-2</v>
      </c>
      <c r="AT62" s="107">
        <f t="shared" si="23"/>
        <v>3003</v>
      </c>
      <c r="AU62" s="108">
        <f t="shared" si="24"/>
        <v>0.56972111553784865</v>
      </c>
      <c r="AV62" s="107">
        <f t="shared" si="25"/>
        <v>243</v>
      </c>
      <c r="AW62" s="108">
        <f t="shared" si="26"/>
        <v>4.6101309049516218E-2</v>
      </c>
      <c r="AX62" s="107">
        <f t="shared" si="27"/>
        <v>1016</v>
      </c>
      <c r="AY62" s="108">
        <f t="shared" si="28"/>
        <v>0.19275279833048758</v>
      </c>
      <c r="AZ62" s="107">
        <f t="shared" si="29"/>
        <v>646</v>
      </c>
      <c r="BA62" s="108">
        <f t="shared" si="30"/>
        <v>0.12255738948966041</v>
      </c>
      <c r="BB62" s="111">
        <v>2614</v>
      </c>
      <c r="BC62" s="111">
        <v>657</v>
      </c>
      <c r="BD62" s="152">
        <f t="shared" si="31"/>
        <v>0.25133894414690128</v>
      </c>
      <c r="BE62" s="111">
        <v>2514</v>
      </c>
      <c r="BF62" s="111">
        <v>661</v>
      </c>
      <c r="BG62" s="152">
        <f t="shared" si="0"/>
        <v>0.26292760540970567</v>
      </c>
      <c r="BH62" s="153">
        <f t="shared" si="32"/>
        <v>5128</v>
      </c>
      <c r="BI62" s="153">
        <f t="shared" si="33"/>
        <v>1318</v>
      </c>
      <c r="BJ62" s="154">
        <f t="shared" si="34"/>
        <v>0.25702028081123246</v>
      </c>
      <c r="BK62" s="107">
        <v>5271</v>
      </c>
      <c r="BL62" s="107">
        <v>1516</v>
      </c>
      <c r="BM62" s="108">
        <f t="shared" si="87"/>
        <v>0.28761145892619994</v>
      </c>
      <c r="BN62" s="107">
        <v>2637</v>
      </c>
      <c r="BO62" s="107">
        <v>670</v>
      </c>
      <c r="BP62" s="108">
        <f t="shared" si="35"/>
        <v>0.25407660219946909</v>
      </c>
      <c r="BQ62" s="107">
        <v>2634</v>
      </c>
      <c r="BR62" s="107">
        <v>846</v>
      </c>
      <c r="BS62" s="108">
        <f t="shared" si="36"/>
        <v>0.32118451025056949</v>
      </c>
      <c r="BT62" s="113">
        <v>18835</v>
      </c>
      <c r="BU62" s="113">
        <v>5615</v>
      </c>
      <c r="BV62" s="156">
        <f t="shared" si="37"/>
        <v>0.29811521104327049</v>
      </c>
      <c r="BW62" s="156">
        <f t="shared" si="38"/>
        <v>1</v>
      </c>
      <c r="BX62" s="113">
        <v>14744</v>
      </c>
      <c r="BY62" s="113">
        <v>5040</v>
      </c>
      <c r="BZ62" s="156">
        <f t="shared" si="39"/>
        <v>0.34183396635919694</v>
      </c>
      <c r="CA62" s="156">
        <f t="shared" si="40"/>
        <v>0.8975957257346393</v>
      </c>
      <c r="CB62" s="113">
        <v>88</v>
      </c>
      <c r="CC62" s="113">
        <v>6</v>
      </c>
      <c r="CD62" s="156">
        <f t="shared" si="41"/>
        <v>6.8181818181818177E-2</v>
      </c>
      <c r="CE62" s="156">
        <f t="shared" si="88"/>
        <v>1.0685663401602849E-3</v>
      </c>
      <c r="CF62" s="113">
        <v>2885</v>
      </c>
      <c r="CG62" s="113">
        <v>405</v>
      </c>
      <c r="CH62" s="156">
        <f t="shared" si="42"/>
        <v>0.14038128249566725</v>
      </c>
      <c r="CI62" s="156">
        <f t="shared" si="43"/>
        <v>7.2128227960819233E-2</v>
      </c>
      <c r="CJ62" s="113">
        <v>90</v>
      </c>
      <c r="CK62" s="113">
        <v>15</v>
      </c>
      <c r="CL62" s="161">
        <f t="shared" si="44"/>
        <v>0.16666666666666666</v>
      </c>
      <c r="CM62" s="156">
        <f t="shared" si="45"/>
        <v>2.6714158504007124E-3</v>
      </c>
      <c r="CN62" s="113">
        <v>2</v>
      </c>
      <c r="CO62" s="113">
        <v>0</v>
      </c>
      <c r="CP62" s="161">
        <v>0</v>
      </c>
      <c r="CQ62" s="156">
        <f t="shared" si="47"/>
        <v>0</v>
      </c>
      <c r="CR62" s="105">
        <v>100</v>
      </c>
      <c r="CS62" s="105">
        <v>0</v>
      </c>
      <c r="CT62" s="106">
        <f t="shared" si="48"/>
        <v>0</v>
      </c>
      <c r="CU62" s="106">
        <f t="shared" si="49"/>
        <v>0</v>
      </c>
      <c r="CV62" s="113">
        <v>528</v>
      </c>
      <c r="CW62" s="113">
        <v>106</v>
      </c>
      <c r="CX62" s="156">
        <f t="shared" si="50"/>
        <v>0.20075757575757575</v>
      </c>
      <c r="CY62" s="156">
        <f t="shared" si="51"/>
        <v>1.88780053428317E-2</v>
      </c>
      <c r="CZ62" s="113">
        <v>498</v>
      </c>
      <c r="DA62" s="113">
        <v>43</v>
      </c>
      <c r="DB62" s="156">
        <f t="shared" si="52"/>
        <v>8.6345381526104423E-2</v>
      </c>
      <c r="DC62" s="156">
        <f t="shared" si="89"/>
        <v>7.6580587711487088E-3</v>
      </c>
      <c r="DD62" s="107">
        <v>2637</v>
      </c>
      <c r="DE62" s="107">
        <v>127</v>
      </c>
      <c r="DF62" s="107">
        <v>845</v>
      </c>
      <c r="DG62" s="107">
        <v>864</v>
      </c>
      <c r="DH62" s="107">
        <v>801</v>
      </c>
      <c r="DI62" s="149">
        <f t="shared" si="53"/>
        <v>4.8160788775123246E-2</v>
      </c>
      <c r="DJ62" s="149">
        <f t="shared" si="54"/>
        <v>0.32043989381873339</v>
      </c>
      <c r="DK62" s="149">
        <f t="shared" si="55"/>
        <v>0.6313993174061433</v>
      </c>
      <c r="DL62" s="107">
        <v>2634</v>
      </c>
      <c r="DM62" s="107">
        <v>152</v>
      </c>
      <c r="DN62" s="107">
        <v>1091</v>
      </c>
      <c r="DO62" s="107">
        <v>638</v>
      </c>
      <c r="DP62" s="107">
        <v>753</v>
      </c>
      <c r="DQ62" s="149">
        <f t="shared" si="56"/>
        <v>5.7706909643128322E-2</v>
      </c>
      <c r="DR62" s="149">
        <f t="shared" si="57"/>
        <v>0.41419893697798027</v>
      </c>
      <c r="DS62" s="149">
        <f t="shared" si="58"/>
        <v>0.52809415337889143</v>
      </c>
      <c r="DT62" s="107">
        <f t="shared" si="59"/>
        <v>5271</v>
      </c>
      <c r="DU62" s="107">
        <f t="shared" si="60"/>
        <v>279</v>
      </c>
      <c r="DV62" s="107">
        <f t="shared" si="61"/>
        <v>1936</v>
      </c>
      <c r="DW62" s="107">
        <f t="shared" si="62"/>
        <v>1502</v>
      </c>
      <c r="DX62" s="107">
        <f t="shared" si="63"/>
        <v>1554</v>
      </c>
      <c r="DY62" s="108">
        <f t="shared" si="64"/>
        <v>5.2931132612407512E-2</v>
      </c>
      <c r="DZ62" s="108">
        <f t="shared" si="65"/>
        <v>0.36729273382659838</v>
      </c>
      <c r="EA62" s="108">
        <f t="shared" si="66"/>
        <v>0.57977613356099411</v>
      </c>
      <c r="EB62" s="107">
        <v>3487</v>
      </c>
      <c r="EC62" s="110">
        <v>333</v>
      </c>
      <c r="ED62" s="108">
        <f t="shared" si="67"/>
        <v>9.5497562374533981E-2</v>
      </c>
      <c r="EE62" s="107">
        <v>730</v>
      </c>
      <c r="EF62" s="108">
        <f t="shared" si="67"/>
        <v>0.20934901061084027</v>
      </c>
      <c r="EG62" s="107">
        <v>1037</v>
      </c>
      <c r="EH62" s="108">
        <f t="shared" ref="EH62" si="482">EG62/$EB62</f>
        <v>0.29739030685402923</v>
      </c>
      <c r="EI62" s="107">
        <v>1571</v>
      </c>
      <c r="EJ62" s="108">
        <f t="shared" ref="EJ62" si="483">EI62/$EB62</f>
        <v>0.45053054201319187</v>
      </c>
      <c r="EK62" s="107">
        <v>2333</v>
      </c>
      <c r="EL62" s="108">
        <f t="shared" ref="EL62" si="484">EK62/$EB62</f>
        <v>0.66905649555491831</v>
      </c>
      <c r="EM62" s="107">
        <v>2797</v>
      </c>
      <c r="EN62" s="108">
        <f t="shared" ref="EN62" si="485">EM62/$EB62</f>
        <v>0.80212216805276737</v>
      </c>
      <c r="EO62" s="163">
        <v>60801</v>
      </c>
      <c r="EP62" s="163">
        <v>36875</v>
      </c>
      <c r="EQ62" s="163">
        <v>62083</v>
      </c>
      <c r="ER62" s="163">
        <v>74621</v>
      </c>
      <c r="ES62" s="163">
        <v>56824</v>
      </c>
      <c r="ET62" s="107">
        <v>2614</v>
      </c>
      <c r="EU62" s="107">
        <v>286</v>
      </c>
      <c r="EV62" s="108">
        <f t="shared" si="72"/>
        <v>0.10941086457536343</v>
      </c>
      <c r="EW62" s="107">
        <v>2514</v>
      </c>
      <c r="EX62" s="107">
        <v>320</v>
      </c>
      <c r="EY62" s="108">
        <f t="shared" si="73"/>
        <v>0.12728719172633254</v>
      </c>
      <c r="EZ62" s="107">
        <f t="shared" si="74"/>
        <v>5128</v>
      </c>
      <c r="FA62" s="107">
        <f t="shared" si="75"/>
        <v>606</v>
      </c>
      <c r="FB62" s="108">
        <f t="shared" si="76"/>
        <v>0.11817472698907956</v>
      </c>
      <c r="FC62" s="107">
        <v>5128</v>
      </c>
      <c r="FD62" s="107">
        <v>606</v>
      </c>
      <c r="FE62" s="108">
        <f t="shared" si="77"/>
        <v>0.11817472698907956</v>
      </c>
      <c r="FF62" s="107">
        <v>1028</v>
      </c>
      <c r="FG62" s="108">
        <f t="shared" si="77"/>
        <v>0.20046801872074882</v>
      </c>
      <c r="FH62" s="107">
        <v>1317</v>
      </c>
      <c r="FI62" s="108">
        <f t="shared" ref="FI62" si="486">FH62/$FC62</f>
        <v>0.25682527301092045</v>
      </c>
      <c r="FJ62" s="107">
        <v>1506</v>
      </c>
      <c r="FK62" s="108">
        <f t="shared" ref="FK62" si="487">FJ62/$FC62</f>
        <v>0.29368174726989077</v>
      </c>
      <c r="FL62" s="107">
        <v>2453</v>
      </c>
      <c r="FM62" s="108">
        <f t="shared" ref="FM62" si="488">FL62/$FC62</f>
        <v>0.4783541341653666</v>
      </c>
      <c r="FN62" s="107">
        <v>358</v>
      </c>
      <c r="FO62" s="108">
        <v>0.20862470862470864</v>
      </c>
      <c r="FP62" s="107">
        <v>9</v>
      </c>
      <c r="FQ62" s="108">
        <v>5.244755244755245E-3</v>
      </c>
      <c r="FR62" s="107">
        <v>92</v>
      </c>
      <c r="FS62" s="108">
        <v>9.9891422366992402E-2</v>
      </c>
      <c r="FT62" s="110">
        <v>0</v>
      </c>
      <c r="FU62" s="108">
        <v>0</v>
      </c>
      <c r="FV62" s="107">
        <v>419</v>
      </c>
      <c r="FW62" s="108">
        <v>0.26154806491885141</v>
      </c>
      <c r="FX62" s="107">
        <v>1</v>
      </c>
      <c r="FY62" s="108">
        <v>6.2421972534332086E-4</v>
      </c>
      <c r="FZ62" s="107">
        <v>57</v>
      </c>
      <c r="GA62" s="108">
        <v>5.5232558139534885E-2</v>
      </c>
      <c r="GB62" s="107">
        <v>0</v>
      </c>
      <c r="GC62" s="108">
        <v>0</v>
      </c>
      <c r="GD62" s="107">
        <v>926</v>
      </c>
      <c r="GE62" s="117">
        <v>0.17567823942325933</v>
      </c>
      <c r="GF62" s="107">
        <v>10</v>
      </c>
      <c r="GG62" s="117">
        <v>1.8971732119142477E-3</v>
      </c>
      <c r="GH62" s="107">
        <v>3487</v>
      </c>
      <c r="GI62" s="107">
        <v>570</v>
      </c>
      <c r="GJ62" s="108">
        <f t="shared" si="81"/>
        <v>0.16346429595640952</v>
      </c>
      <c r="GK62" s="107">
        <v>234</v>
      </c>
      <c r="GL62" s="108">
        <f t="shared" si="82"/>
        <v>0.41052631578947368</v>
      </c>
      <c r="GM62" s="107">
        <v>136</v>
      </c>
      <c r="GN62" s="108">
        <f t="shared" si="83"/>
        <v>0.23859649122807017</v>
      </c>
      <c r="GO62" s="107">
        <v>2917</v>
      </c>
      <c r="GP62" s="108">
        <f t="shared" si="84"/>
        <v>0.83653570404359046</v>
      </c>
      <c r="GQ62" s="107">
        <v>2252</v>
      </c>
      <c r="GR62" s="108">
        <f t="shared" si="85"/>
        <v>0.77202605416523828</v>
      </c>
      <c r="GS62" s="107">
        <v>652</v>
      </c>
      <c r="GT62" s="108">
        <f t="shared" si="86"/>
        <v>0.2235173123071649</v>
      </c>
    </row>
    <row r="63" spans="1:202" x14ac:dyDescent="0.25">
      <c r="A63" s="104" t="s">
        <v>235</v>
      </c>
      <c r="B63" s="143">
        <v>41039</v>
      </c>
      <c r="C63" s="143">
        <v>12390</v>
      </c>
      <c r="D63" s="143">
        <v>9152</v>
      </c>
      <c r="E63" s="143">
        <v>3769</v>
      </c>
      <c r="F63" s="143">
        <v>1041</v>
      </c>
      <c r="G63" s="144">
        <f t="shared" si="2"/>
        <v>0.30190794122663805</v>
      </c>
      <c r="H63" s="144">
        <f t="shared" si="3"/>
        <v>0.22300738322083871</v>
      </c>
      <c r="I63" s="144">
        <f t="shared" si="4"/>
        <v>9.183946977265528E-2</v>
      </c>
      <c r="J63" s="144">
        <f t="shared" si="5"/>
        <v>2.536611515875143E-2</v>
      </c>
      <c r="K63" s="143">
        <v>4431</v>
      </c>
      <c r="L63" s="145">
        <f t="shared" si="6"/>
        <v>0.48415646853146854</v>
      </c>
      <c r="M63" s="143">
        <v>4721</v>
      </c>
      <c r="N63" s="145">
        <f t="shared" si="7"/>
        <v>0.51584353146853146</v>
      </c>
      <c r="O63" s="148">
        <v>45.6</v>
      </c>
      <c r="P63" s="107">
        <v>17246</v>
      </c>
      <c r="Q63" s="107">
        <v>8239</v>
      </c>
      <c r="R63" s="108">
        <f t="shared" si="8"/>
        <v>0.47773396729676448</v>
      </c>
      <c r="S63" s="107">
        <v>6265</v>
      </c>
      <c r="T63" s="149">
        <f t="shared" si="9"/>
        <v>0.36327264293169431</v>
      </c>
      <c r="U63" s="143">
        <v>4431</v>
      </c>
      <c r="V63" s="107">
        <v>299</v>
      </c>
      <c r="W63" s="108">
        <f t="shared" si="10"/>
        <v>6.7479124351162267E-2</v>
      </c>
      <c r="X63" s="107">
        <v>3006</v>
      </c>
      <c r="Y63" s="150">
        <f t="shared" si="11"/>
        <v>0.67840216655382535</v>
      </c>
      <c r="Z63" s="107">
        <v>175</v>
      </c>
      <c r="AA63" s="108">
        <f t="shared" si="12"/>
        <v>3.9494470774091628E-2</v>
      </c>
      <c r="AB63" s="107">
        <v>388</v>
      </c>
      <c r="AC63" s="108">
        <f t="shared" si="13"/>
        <v>8.7564883773414579E-2</v>
      </c>
      <c r="AD63" s="107">
        <v>563</v>
      </c>
      <c r="AE63" s="108">
        <f t="shared" si="14"/>
        <v>0.12705935454750619</v>
      </c>
      <c r="AF63" s="107">
        <v>4721</v>
      </c>
      <c r="AG63" s="107">
        <v>207</v>
      </c>
      <c r="AH63" s="108">
        <f t="shared" si="15"/>
        <v>4.3846642660453294E-2</v>
      </c>
      <c r="AI63" s="107">
        <v>2563</v>
      </c>
      <c r="AJ63" s="108">
        <f t="shared" si="16"/>
        <v>0.54289345477653039</v>
      </c>
      <c r="AK63" s="107">
        <v>117</v>
      </c>
      <c r="AL63" s="108">
        <f t="shared" si="17"/>
        <v>2.4782884981995341E-2</v>
      </c>
      <c r="AM63" s="107">
        <v>1275</v>
      </c>
      <c r="AN63" s="108">
        <f t="shared" si="18"/>
        <v>0.27006990044482099</v>
      </c>
      <c r="AO63" s="107">
        <v>559</v>
      </c>
      <c r="AP63" s="108">
        <f t="shared" si="19"/>
        <v>0.11840711713619996</v>
      </c>
      <c r="AQ63" s="107">
        <f t="shared" si="20"/>
        <v>9152</v>
      </c>
      <c r="AR63" s="107">
        <f t="shared" si="21"/>
        <v>506</v>
      </c>
      <c r="AS63" s="108">
        <f t="shared" si="22"/>
        <v>5.5288461538461536E-2</v>
      </c>
      <c r="AT63" s="107">
        <f t="shared" si="23"/>
        <v>5569</v>
      </c>
      <c r="AU63" s="108">
        <f t="shared" si="24"/>
        <v>0.60850087412587417</v>
      </c>
      <c r="AV63" s="107">
        <f t="shared" si="25"/>
        <v>292</v>
      </c>
      <c r="AW63" s="108">
        <f t="shared" si="26"/>
        <v>3.1905594405594408E-2</v>
      </c>
      <c r="AX63" s="107">
        <f t="shared" si="27"/>
        <v>1663</v>
      </c>
      <c r="AY63" s="108">
        <f t="shared" si="28"/>
        <v>0.18170891608391609</v>
      </c>
      <c r="AZ63" s="107">
        <f t="shared" si="29"/>
        <v>1122</v>
      </c>
      <c r="BA63" s="108">
        <f t="shared" si="30"/>
        <v>0.12259615384615384</v>
      </c>
      <c r="BB63" s="111">
        <v>4330</v>
      </c>
      <c r="BC63" s="111">
        <v>1528</v>
      </c>
      <c r="BD63" s="152">
        <f t="shared" si="31"/>
        <v>0.35288683602771365</v>
      </c>
      <c r="BE63" s="111">
        <v>4567</v>
      </c>
      <c r="BF63" s="111">
        <v>1262</v>
      </c>
      <c r="BG63" s="152">
        <f t="shared" si="0"/>
        <v>0.27633019487628641</v>
      </c>
      <c r="BH63" s="153">
        <f t="shared" si="32"/>
        <v>8897</v>
      </c>
      <c r="BI63" s="153">
        <f t="shared" si="33"/>
        <v>2790</v>
      </c>
      <c r="BJ63" s="154">
        <f t="shared" si="34"/>
        <v>0.31358885017421601</v>
      </c>
      <c r="BK63" s="107">
        <v>9152</v>
      </c>
      <c r="BL63" s="107">
        <v>2396</v>
      </c>
      <c r="BM63" s="108">
        <f t="shared" si="87"/>
        <v>0.26180069930069932</v>
      </c>
      <c r="BN63" s="107">
        <v>4431</v>
      </c>
      <c r="BO63" s="107">
        <v>925</v>
      </c>
      <c r="BP63" s="108">
        <f t="shared" si="35"/>
        <v>0.20875648837734145</v>
      </c>
      <c r="BQ63" s="107">
        <v>4721</v>
      </c>
      <c r="BR63" s="107">
        <v>1471</v>
      </c>
      <c r="BS63" s="108">
        <f t="shared" si="36"/>
        <v>0.31158652827790723</v>
      </c>
      <c r="BT63" s="113">
        <v>41299</v>
      </c>
      <c r="BU63" s="113">
        <v>9528</v>
      </c>
      <c r="BV63" s="156">
        <f t="shared" si="37"/>
        <v>0.23070776532119422</v>
      </c>
      <c r="BW63" s="156">
        <f t="shared" si="38"/>
        <v>1</v>
      </c>
      <c r="BX63" s="113">
        <v>35098</v>
      </c>
      <c r="BY63" s="113">
        <v>8890</v>
      </c>
      <c r="BZ63" s="156">
        <f t="shared" si="39"/>
        <v>0.25329078579976066</v>
      </c>
      <c r="CA63" s="156">
        <f t="shared" si="40"/>
        <v>0.93303946263644</v>
      </c>
      <c r="CB63" s="113">
        <v>251</v>
      </c>
      <c r="CC63" s="113">
        <v>19</v>
      </c>
      <c r="CD63" s="156">
        <f t="shared" si="41"/>
        <v>7.5697211155378488E-2</v>
      </c>
      <c r="CE63" s="156">
        <f t="shared" si="88"/>
        <v>1.9941225860621325E-3</v>
      </c>
      <c r="CF63" s="113">
        <v>3271</v>
      </c>
      <c r="CG63" s="113">
        <v>420</v>
      </c>
      <c r="CH63" s="156">
        <f t="shared" si="42"/>
        <v>0.12840110058086213</v>
      </c>
      <c r="CI63" s="156">
        <f t="shared" si="43"/>
        <v>4.4080604534005037E-2</v>
      </c>
      <c r="CJ63" s="113">
        <v>282</v>
      </c>
      <c r="CK63" s="113">
        <v>39</v>
      </c>
      <c r="CL63" s="161">
        <f t="shared" si="44"/>
        <v>0.13829787234042554</v>
      </c>
      <c r="CM63" s="156">
        <f t="shared" si="45"/>
        <v>4.0931989924433247E-3</v>
      </c>
      <c r="CN63" s="113">
        <v>25</v>
      </c>
      <c r="CO63" s="113">
        <v>1</v>
      </c>
      <c r="CP63" s="161">
        <f t="shared" si="46"/>
        <v>0.04</v>
      </c>
      <c r="CQ63" s="156">
        <f t="shared" si="47"/>
        <v>1.0495382031905961E-4</v>
      </c>
      <c r="CR63" s="105">
        <v>211</v>
      </c>
      <c r="CS63" s="105">
        <v>18</v>
      </c>
      <c r="CT63" s="106">
        <f t="shared" si="48"/>
        <v>8.5308056872037921E-2</v>
      </c>
      <c r="CU63" s="106">
        <f t="shared" si="49"/>
        <v>1.889168765743073E-3</v>
      </c>
      <c r="CV63" s="113">
        <v>904</v>
      </c>
      <c r="CW63" s="113">
        <v>79</v>
      </c>
      <c r="CX63" s="156">
        <f t="shared" si="50"/>
        <v>8.7389380530973448E-2</v>
      </c>
      <c r="CY63" s="156">
        <f t="shared" si="51"/>
        <v>8.29135180520571E-3</v>
      </c>
      <c r="CZ63" s="113">
        <v>1468</v>
      </c>
      <c r="DA63" s="113">
        <v>80</v>
      </c>
      <c r="DB63" s="156">
        <f t="shared" si="52"/>
        <v>5.4495912806539509E-2</v>
      </c>
      <c r="DC63" s="156">
        <f t="shared" si="89"/>
        <v>8.3963056255247689E-3</v>
      </c>
      <c r="DD63" s="107">
        <v>4431</v>
      </c>
      <c r="DE63" s="107">
        <v>321</v>
      </c>
      <c r="DF63" s="107">
        <v>2382</v>
      </c>
      <c r="DG63" s="107">
        <v>1073</v>
      </c>
      <c r="DH63" s="107">
        <v>655</v>
      </c>
      <c r="DI63" s="149">
        <f t="shared" si="53"/>
        <v>7.244414353419093E-2</v>
      </c>
      <c r="DJ63" s="149">
        <f t="shared" si="54"/>
        <v>0.53757616790792151</v>
      </c>
      <c r="DK63" s="149">
        <f t="shared" si="55"/>
        <v>0.38997968855788762</v>
      </c>
      <c r="DL63" s="107">
        <v>4721</v>
      </c>
      <c r="DM63" s="107">
        <v>324</v>
      </c>
      <c r="DN63" s="107">
        <v>2449</v>
      </c>
      <c r="DO63" s="107">
        <v>1199</v>
      </c>
      <c r="DP63" s="107">
        <v>749</v>
      </c>
      <c r="DQ63" s="149">
        <f t="shared" si="56"/>
        <v>6.8629527642448632E-2</v>
      </c>
      <c r="DR63" s="149">
        <f t="shared" si="57"/>
        <v>0.518746028383817</v>
      </c>
      <c r="DS63" s="149">
        <f t="shared" si="58"/>
        <v>0.41262444397373438</v>
      </c>
      <c r="DT63" s="107">
        <f t="shared" si="59"/>
        <v>9152</v>
      </c>
      <c r="DU63" s="107">
        <f t="shared" si="60"/>
        <v>645</v>
      </c>
      <c r="DV63" s="107">
        <f t="shared" si="61"/>
        <v>4831</v>
      </c>
      <c r="DW63" s="107">
        <f t="shared" si="62"/>
        <v>2272</v>
      </c>
      <c r="DX63" s="107">
        <f t="shared" si="63"/>
        <v>1404</v>
      </c>
      <c r="DY63" s="108">
        <f t="shared" si="64"/>
        <v>7.0476398601398607E-2</v>
      </c>
      <c r="DZ63" s="108">
        <f t="shared" si="65"/>
        <v>0.52786276223776218</v>
      </c>
      <c r="EA63" s="108">
        <f t="shared" si="66"/>
        <v>0.40166083916083917</v>
      </c>
      <c r="EB63" s="107">
        <v>5786</v>
      </c>
      <c r="EC63" s="110">
        <v>617</v>
      </c>
      <c r="ED63" s="108">
        <f t="shared" si="67"/>
        <v>0.10663670929830625</v>
      </c>
      <c r="EE63" s="107">
        <v>1312</v>
      </c>
      <c r="EF63" s="108">
        <f t="shared" si="67"/>
        <v>0.2267542343587971</v>
      </c>
      <c r="EG63" s="107">
        <v>1934</v>
      </c>
      <c r="EH63" s="108">
        <f t="shared" ref="EH63" si="489">EG63/$EB63</f>
        <v>0.33425509851365365</v>
      </c>
      <c r="EI63" s="107">
        <v>2747</v>
      </c>
      <c r="EJ63" s="108">
        <f t="shared" ref="EJ63" si="490">EI63/$EB63</f>
        <v>0.47476667818873142</v>
      </c>
      <c r="EK63" s="107">
        <v>4240</v>
      </c>
      <c r="EL63" s="108">
        <f t="shared" ref="EL63" si="491">EK63/$EB63</f>
        <v>0.73280331835464918</v>
      </c>
      <c r="EM63" s="107">
        <v>4847</v>
      </c>
      <c r="EN63" s="108">
        <f t="shared" ref="EN63" si="492">EM63/$EB63</f>
        <v>0.83771171793985477</v>
      </c>
      <c r="EO63" s="163">
        <v>66479</v>
      </c>
      <c r="EP63" s="163">
        <v>55147</v>
      </c>
      <c r="EQ63" s="163">
        <v>80534</v>
      </c>
      <c r="ER63" s="163">
        <v>77978</v>
      </c>
      <c r="ES63" s="163">
        <v>52147</v>
      </c>
      <c r="ET63" s="107">
        <v>4330</v>
      </c>
      <c r="EU63" s="107">
        <v>390</v>
      </c>
      <c r="EV63" s="108">
        <f t="shared" si="72"/>
        <v>9.0069284064665134E-2</v>
      </c>
      <c r="EW63" s="107">
        <v>4567</v>
      </c>
      <c r="EX63" s="107">
        <v>688</v>
      </c>
      <c r="EY63" s="108">
        <f t="shared" si="73"/>
        <v>0.1506459382526823</v>
      </c>
      <c r="EZ63" s="107">
        <f t="shared" si="74"/>
        <v>8897</v>
      </c>
      <c r="FA63" s="107">
        <f t="shared" si="75"/>
        <v>1078</v>
      </c>
      <c r="FB63" s="108">
        <f t="shared" si="76"/>
        <v>0.12116443745082613</v>
      </c>
      <c r="FC63" s="107">
        <v>8897</v>
      </c>
      <c r="FD63" s="107">
        <v>1078</v>
      </c>
      <c r="FE63" s="108">
        <f t="shared" si="77"/>
        <v>0.12116443745082613</v>
      </c>
      <c r="FF63" s="107">
        <v>1703</v>
      </c>
      <c r="FG63" s="108">
        <f t="shared" si="77"/>
        <v>0.19141283578734405</v>
      </c>
      <c r="FH63" s="107">
        <v>2385</v>
      </c>
      <c r="FI63" s="108">
        <f t="shared" ref="FI63" si="493">FH63/$FC63</f>
        <v>0.26806788805215243</v>
      </c>
      <c r="FJ63" s="107">
        <v>2835</v>
      </c>
      <c r="FK63" s="108">
        <f t="shared" ref="FK63" si="494">FJ63/$FC63</f>
        <v>0.31864673485444533</v>
      </c>
      <c r="FL63" s="107">
        <v>4689</v>
      </c>
      <c r="FM63" s="108">
        <f t="shared" ref="FM63" si="495">FL63/$FC63</f>
        <v>0.52703158367989211</v>
      </c>
      <c r="FN63" s="107">
        <v>550</v>
      </c>
      <c r="FO63" s="108">
        <v>0.2011704462326262</v>
      </c>
      <c r="FP63" s="107">
        <v>10</v>
      </c>
      <c r="FQ63" s="108">
        <v>3.6576444769568397E-3</v>
      </c>
      <c r="FR63" s="107">
        <v>77</v>
      </c>
      <c r="FS63" s="108">
        <v>4.5374189746611671E-2</v>
      </c>
      <c r="FT63" s="110">
        <v>4</v>
      </c>
      <c r="FU63" s="108">
        <v>2.3571007660577489E-3</v>
      </c>
      <c r="FV63" s="107">
        <v>654</v>
      </c>
      <c r="FW63" s="108">
        <v>0.24688561721404303</v>
      </c>
      <c r="FX63" s="107">
        <v>15</v>
      </c>
      <c r="FY63" s="108">
        <v>5.6625141562853904E-3</v>
      </c>
      <c r="FZ63" s="107">
        <v>42</v>
      </c>
      <c r="GA63" s="108">
        <v>2.0270270270270271E-2</v>
      </c>
      <c r="GB63" s="107">
        <v>0</v>
      </c>
      <c r="GC63" s="108">
        <v>0</v>
      </c>
      <c r="GD63" s="107">
        <v>1323</v>
      </c>
      <c r="GE63" s="117">
        <v>0.14455856643356643</v>
      </c>
      <c r="GF63" s="107">
        <v>29</v>
      </c>
      <c r="GG63" s="117">
        <v>3.1687062937062935E-3</v>
      </c>
      <c r="GH63" s="107">
        <v>5786</v>
      </c>
      <c r="GI63" s="107">
        <v>1143</v>
      </c>
      <c r="GJ63" s="108">
        <f t="shared" si="81"/>
        <v>0.19754580020739718</v>
      </c>
      <c r="GK63" s="107">
        <v>506</v>
      </c>
      <c r="GL63" s="108">
        <f t="shared" si="82"/>
        <v>0.4426946631671041</v>
      </c>
      <c r="GM63" s="107">
        <v>429</v>
      </c>
      <c r="GN63" s="108">
        <f t="shared" si="83"/>
        <v>0.37532808398950129</v>
      </c>
      <c r="GO63" s="107">
        <v>4643</v>
      </c>
      <c r="GP63" s="108">
        <f t="shared" si="84"/>
        <v>0.8024541997926028</v>
      </c>
      <c r="GQ63" s="107">
        <v>3545</v>
      </c>
      <c r="GR63" s="108">
        <f t="shared" si="85"/>
        <v>0.76351496877019165</v>
      </c>
      <c r="GS63" s="107">
        <v>1034</v>
      </c>
      <c r="GT63" s="108">
        <f t="shared" si="86"/>
        <v>0.22270083997415463</v>
      </c>
    </row>
    <row r="64" spans="1:202" x14ac:dyDescent="0.25">
      <c r="A64" s="104" t="s">
        <v>236</v>
      </c>
      <c r="B64" s="143">
        <v>117991</v>
      </c>
      <c r="C64" s="143">
        <v>32350</v>
      </c>
      <c r="D64" s="143">
        <v>23125</v>
      </c>
      <c r="E64" s="143">
        <v>9115</v>
      </c>
      <c r="F64" s="143">
        <v>2651</v>
      </c>
      <c r="G64" s="144">
        <f t="shared" si="2"/>
        <v>0.27417345390750142</v>
      </c>
      <c r="H64" s="144">
        <f t="shared" si="3"/>
        <v>0.19598952462475952</v>
      </c>
      <c r="I64" s="144">
        <f t="shared" si="4"/>
        <v>7.7251654787229534E-2</v>
      </c>
      <c r="J64" s="144">
        <f t="shared" si="5"/>
        <v>2.2467815341848107E-2</v>
      </c>
      <c r="K64" s="143">
        <v>10791</v>
      </c>
      <c r="L64" s="145">
        <f t="shared" si="6"/>
        <v>0.46663783783783785</v>
      </c>
      <c r="M64" s="143">
        <v>12334</v>
      </c>
      <c r="N64" s="145">
        <f t="shared" si="7"/>
        <v>0.53336216216216215</v>
      </c>
      <c r="O64" s="148">
        <v>41.7</v>
      </c>
      <c r="P64" s="107">
        <v>49725</v>
      </c>
      <c r="Q64" s="107">
        <v>22031</v>
      </c>
      <c r="R64" s="108">
        <f t="shared" si="8"/>
        <v>0.4430568124685772</v>
      </c>
      <c r="S64" s="107">
        <v>16804</v>
      </c>
      <c r="T64" s="149">
        <f t="shared" si="9"/>
        <v>0.33793866264454497</v>
      </c>
      <c r="U64" s="143">
        <v>10791</v>
      </c>
      <c r="V64" s="107">
        <v>668</v>
      </c>
      <c r="W64" s="108">
        <f t="shared" si="10"/>
        <v>6.1903438050227043E-2</v>
      </c>
      <c r="X64" s="107">
        <v>7607</v>
      </c>
      <c r="Y64" s="150">
        <f t="shared" si="11"/>
        <v>0.70493930126957649</v>
      </c>
      <c r="Z64" s="107">
        <v>312</v>
      </c>
      <c r="AA64" s="108">
        <f t="shared" si="12"/>
        <v>2.891298304142341E-2</v>
      </c>
      <c r="AB64" s="107">
        <v>971</v>
      </c>
      <c r="AC64" s="108">
        <f t="shared" si="13"/>
        <v>8.9982392734686306E-2</v>
      </c>
      <c r="AD64" s="107">
        <v>1233</v>
      </c>
      <c r="AE64" s="108">
        <f t="shared" si="14"/>
        <v>0.11426188490408674</v>
      </c>
      <c r="AF64" s="107">
        <v>12334</v>
      </c>
      <c r="AG64" s="107">
        <v>490</v>
      </c>
      <c r="AH64" s="108">
        <f t="shared" si="15"/>
        <v>3.9727582292849034E-2</v>
      </c>
      <c r="AI64" s="107">
        <v>5925</v>
      </c>
      <c r="AJ64" s="108">
        <f t="shared" si="16"/>
        <v>0.48037943894924601</v>
      </c>
      <c r="AK64" s="107">
        <v>331</v>
      </c>
      <c r="AL64" s="108">
        <f t="shared" si="17"/>
        <v>2.6836387222312307E-2</v>
      </c>
      <c r="AM64" s="107">
        <v>3780</v>
      </c>
      <c r="AN64" s="108">
        <f t="shared" si="18"/>
        <v>0.30646992054483541</v>
      </c>
      <c r="AO64" s="107">
        <v>1808</v>
      </c>
      <c r="AP64" s="108">
        <f t="shared" si="19"/>
        <v>0.14658667099075726</v>
      </c>
      <c r="AQ64" s="107">
        <f t="shared" si="20"/>
        <v>23125</v>
      </c>
      <c r="AR64" s="107">
        <f t="shared" si="21"/>
        <v>1158</v>
      </c>
      <c r="AS64" s="108">
        <f t="shared" si="22"/>
        <v>5.0075675675675675E-2</v>
      </c>
      <c r="AT64" s="107">
        <f t="shared" si="23"/>
        <v>13532</v>
      </c>
      <c r="AU64" s="108">
        <f t="shared" si="24"/>
        <v>0.5851675675675676</v>
      </c>
      <c r="AV64" s="107">
        <f t="shared" si="25"/>
        <v>643</v>
      </c>
      <c r="AW64" s="108">
        <f t="shared" si="26"/>
        <v>2.7805405405405405E-2</v>
      </c>
      <c r="AX64" s="107">
        <f t="shared" si="27"/>
        <v>4751</v>
      </c>
      <c r="AY64" s="108">
        <f t="shared" si="28"/>
        <v>0.20544864864864865</v>
      </c>
      <c r="AZ64" s="107">
        <f t="shared" si="29"/>
        <v>3041</v>
      </c>
      <c r="BA64" s="108">
        <f t="shared" si="30"/>
        <v>0.1315027027027027</v>
      </c>
      <c r="BB64" s="111">
        <v>10523</v>
      </c>
      <c r="BC64" s="111">
        <v>2444</v>
      </c>
      <c r="BD64" s="152">
        <f t="shared" si="31"/>
        <v>0.23225315974531976</v>
      </c>
      <c r="BE64" s="111">
        <v>11841</v>
      </c>
      <c r="BF64" s="111">
        <v>3200</v>
      </c>
      <c r="BG64" s="152">
        <f t="shared" si="0"/>
        <v>0.27024744531711847</v>
      </c>
      <c r="BH64" s="153">
        <f t="shared" si="32"/>
        <v>22364</v>
      </c>
      <c r="BI64" s="153">
        <f t="shared" si="33"/>
        <v>5644</v>
      </c>
      <c r="BJ64" s="154">
        <f t="shared" si="34"/>
        <v>0.25236988016455014</v>
      </c>
      <c r="BK64" s="107">
        <v>23125</v>
      </c>
      <c r="BL64" s="107">
        <v>6633</v>
      </c>
      <c r="BM64" s="108">
        <f t="shared" si="87"/>
        <v>0.28683243243243245</v>
      </c>
      <c r="BN64" s="107">
        <v>10791</v>
      </c>
      <c r="BO64" s="107">
        <v>2208</v>
      </c>
      <c r="BP64" s="108">
        <f t="shared" si="35"/>
        <v>0.2046149569085349</v>
      </c>
      <c r="BQ64" s="107">
        <v>12334</v>
      </c>
      <c r="BR64" s="107">
        <v>4425</v>
      </c>
      <c r="BS64" s="108">
        <f t="shared" si="36"/>
        <v>0.35876439111399383</v>
      </c>
      <c r="BT64" s="113">
        <v>118331</v>
      </c>
      <c r="BU64" s="113">
        <v>24675</v>
      </c>
      <c r="BV64" s="156">
        <f t="shared" si="37"/>
        <v>0.20852523852583008</v>
      </c>
      <c r="BW64" s="156">
        <f t="shared" si="38"/>
        <v>1</v>
      </c>
      <c r="BX64" s="113">
        <v>95391</v>
      </c>
      <c r="BY64" s="113">
        <v>23617</v>
      </c>
      <c r="BZ64" s="156">
        <f t="shared" si="39"/>
        <v>0.24758100869054733</v>
      </c>
      <c r="CA64" s="156">
        <f t="shared" si="40"/>
        <v>0.95712259371833841</v>
      </c>
      <c r="CB64" s="113">
        <v>2868</v>
      </c>
      <c r="CC64" s="113">
        <v>82</v>
      </c>
      <c r="CD64" s="156">
        <f t="shared" si="41"/>
        <v>2.8591352859135284E-2</v>
      </c>
      <c r="CE64" s="156">
        <f t="shared" si="88"/>
        <v>3.3232016210739614E-3</v>
      </c>
      <c r="CF64" s="113">
        <v>427</v>
      </c>
      <c r="CG64" s="113">
        <v>69</v>
      </c>
      <c r="CH64" s="156">
        <f t="shared" si="42"/>
        <v>0.16159250585480095</v>
      </c>
      <c r="CI64" s="156">
        <f t="shared" si="43"/>
        <v>2.7963525835866263E-3</v>
      </c>
      <c r="CJ64" s="113">
        <v>7634</v>
      </c>
      <c r="CK64" s="113">
        <v>329</v>
      </c>
      <c r="CL64" s="161">
        <f t="shared" si="44"/>
        <v>4.3096672779669901E-2</v>
      </c>
      <c r="CM64" s="156">
        <f t="shared" si="45"/>
        <v>1.3333333333333334E-2</v>
      </c>
      <c r="CN64" s="113">
        <v>56</v>
      </c>
      <c r="CO64" s="113">
        <v>5</v>
      </c>
      <c r="CP64" s="161">
        <f t="shared" si="46"/>
        <v>8.9285714285714288E-2</v>
      </c>
      <c r="CQ64" s="156">
        <f t="shared" si="47"/>
        <v>2.0263424518743666E-4</v>
      </c>
      <c r="CR64" s="105">
        <v>1204</v>
      </c>
      <c r="CS64" s="105">
        <v>43</v>
      </c>
      <c r="CT64" s="106">
        <f t="shared" si="48"/>
        <v>3.5714285714285712E-2</v>
      </c>
      <c r="CU64" s="106">
        <f t="shared" si="49"/>
        <v>1.7426545086119555E-3</v>
      </c>
      <c r="CV64" s="113">
        <v>2207</v>
      </c>
      <c r="CW64" s="113">
        <v>60</v>
      </c>
      <c r="CX64" s="156">
        <f t="shared" si="50"/>
        <v>2.718622564567286E-2</v>
      </c>
      <c r="CY64" s="156">
        <f t="shared" si="51"/>
        <v>2.4316109422492403E-3</v>
      </c>
      <c r="CZ64" s="113">
        <v>9748</v>
      </c>
      <c r="DA64" s="113">
        <v>513</v>
      </c>
      <c r="DB64" s="156">
        <f t="shared" si="52"/>
        <v>5.2626179729175215E-2</v>
      </c>
      <c r="DC64" s="156">
        <f t="shared" si="89"/>
        <v>2.0790273556231004E-2</v>
      </c>
      <c r="DD64" s="107">
        <v>10791</v>
      </c>
      <c r="DE64" s="107">
        <v>890</v>
      </c>
      <c r="DF64" s="107">
        <v>4077</v>
      </c>
      <c r="DG64" s="107">
        <v>3130</v>
      </c>
      <c r="DH64" s="107">
        <v>2694</v>
      </c>
      <c r="DI64" s="149">
        <f t="shared" si="53"/>
        <v>8.247613752200908E-2</v>
      </c>
      <c r="DJ64" s="149">
        <f t="shared" si="54"/>
        <v>0.37781484570475399</v>
      </c>
      <c r="DK64" s="149">
        <f t="shared" si="55"/>
        <v>0.5397090167732369</v>
      </c>
      <c r="DL64" s="107">
        <v>12334</v>
      </c>
      <c r="DM64" s="107">
        <v>1061</v>
      </c>
      <c r="DN64" s="107">
        <v>5350</v>
      </c>
      <c r="DO64" s="107">
        <v>3629</v>
      </c>
      <c r="DP64" s="107">
        <v>2294</v>
      </c>
      <c r="DQ64" s="149">
        <f t="shared" si="56"/>
        <v>8.6022377168801692E-2</v>
      </c>
      <c r="DR64" s="149">
        <f t="shared" si="57"/>
        <v>0.43376033727906599</v>
      </c>
      <c r="DS64" s="149">
        <f t="shared" si="58"/>
        <v>0.48021728555213233</v>
      </c>
      <c r="DT64" s="107">
        <f t="shared" si="59"/>
        <v>23125</v>
      </c>
      <c r="DU64" s="107">
        <f t="shared" si="60"/>
        <v>1951</v>
      </c>
      <c r="DV64" s="107">
        <f t="shared" si="61"/>
        <v>9427</v>
      </c>
      <c r="DW64" s="107">
        <f t="shared" si="62"/>
        <v>6759</v>
      </c>
      <c r="DX64" s="107">
        <f t="shared" si="63"/>
        <v>4988</v>
      </c>
      <c r="DY64" s="108">
        <f t="shared" si="64"/>
        <v>8.4367567567567567E-2</v>
      </c>
      <c r="DZ64" s="108">
        <f t="shared" si="65"/>
        <v>0.40765405405405403</v>
      </c>
      <c r="EA64" s="108">
        <f t="shared" si="66"/>
        <v>0.50797837837837834</v>
      </c>
      <c r="EB64" s="107">
        <v>14978</v>
      </c>
      <c r="EC64" s="110">
        <v>1104</v>
      </c>
      <c r="ED64" s="108">
        <f t="shared" si="67"/>
        <v>7.3708105220990791E-2</v>
      </c>
      <c r="EE64" s="107">
        <v>2302</v>
      </c>
      <c r="EF64" s="108">
        <f t="shared" si="67"/>
        <v>0.15369208171985579</v>
      </c>
      <c r="EG64" s="107">
        <v>4487</v>
      </c>
      <c r="EH64" s="108">
        <f t="shared" ref="EH64" si="496">EG64/$EB64</f>
        <v>0.29957270663640007</v>
      </c>
      <c r="EI64" s="107">
        <v>6877</v>
      </c>
      <c r="EJ64" s="108">
        <f t="shared" ref="EJ64" si="497">EI64/$EB64</f>
        <v>0.45914007210575508</v>
      </c>
      <c r="EK64" s="107">
        <v>10261</v>
      </c>
      <c r="EL64" s="108">
        <f t="shared" ref="EL64" si="498">EK64/$EB64</f>
        <v>0.68507143810922688</v>
      </c>
      <c r="EM64" s="107">
        <v>12001</v>
      </c>
      <c r="EN64" s="108">
        <f t="shared" ref="EN64" si="499">EM64/$EB64</f>
        <v>0.80124182133796229</v>
      </c>
      <c r="EO64" s="163">
        <v>73094</v>
      </c>
      <c r="EP64" s="163">
        <v>51644</v>
      </c>
      <c r="EQ64" s="163">
        <v>83657</v>
      </c>
      <c r="ER64" s="163">
        <v>91350</v>
      </c>
      <c r="ES64" s="163">
        <v>53289</v>
      </c>
      <c r="ET64" s="107">
        <v>10523</v>
      </c>
      <c r="EU64" s="107">
        <v>540</v>
      </c>
      <c r="EV64" s="108">
        <f t="shared" si="72"/>
        <v>5.131616459184643E-2</v>
      </c>
      <c r="EW64" s="107">
        <v>11841</v>
      </c>
      <c r="EX64" s="107">
        <v>1130</v>
      </c>
      <c r="EY64" s="108">
        <f t="shared" si="73"/>
        <v>9.543112912760747E-2</v>
      </c>
      <c r="EZ64" s="107">
        <f t="shared" si="74"/>
        <v>22364</v>
      </c>
      <c r="FA64" s="107">
        <f t="shared" si="75"/>
        <v>1670</v>
      </c>
      <c r="FB64" s="108">
        <f t="shared" si="76"/>
        <v>7.4673582543373279E-2</v>
      </c>
      <c r="FC64" s="107">
        <v>22364</v>
      </c>
      <c r="FD64" s="107">
        <v>1670</v>
      </c>
      <c r="FE64" s="108">
        <f t="shared" si="77"/>
        <v>7.4673582543373279E-2</v>
      </c>
      <c r="FF64" s="107">
        <v>2909</v>
      </c>
      <c r="FG64" s="108">
        <f t="shared" si="77"/>
        <v>0.13007512072974423</v>
      </c>
      <c r="FH64" s="107">
        <v>4529</v>
      </c>
      <c r="FI64" s="108">
        <f t="shared" ref="FI64" si="500">FH64/$FC64</f>
        <v>0.20251296726882489</v>
      </c>
      <c r="FJ64" s="107">
        <v>5304</v>
      </c>
      <c r="FK64" s="108">
        <f t="shared" ref="FK64" si="501">FJ64/$FC64</f>
        <v>0.23716687533536041</v>
      </c>
      <c r="FL64" s="107">
        <v>10100</v>
      </c>
      <c r="FM64" s="108">
        <f t="shared" ref="FM64" si="502">FL64/$FC64</f>
        <v>0.45161867286710783</v>
      </c>
      <c r="FN64" s="107">
        <v>1628</v>
      </c>
      <c r="FO64" s="108">
        <v>0.23638739654421373</v>
      </c>
      <c r="FP64" s="107">
        <v>19</v>
      </c>
      <c r="FQ64" s="108">
        <v>2.7588209670393496E-3</v>
      </c>
      <c r="FR64" s="107">
        <v>517</v>
      </c>
      <c r="FS64" s="108">
        <v>0.13242827868852458</v>
      </c>
      <c r="FT64" s="110">
        <v>0</v>
      </c>
      <c r="FU64" s="108">
        <v>0</v>
      </c>
      <c r="FV64" s="107">
        <v>1418</v>
      </c>
      <c r="FW64" s="108">
        <v>0.19907342411905096</v>
      </c>
      <c r="FX64" s="107">
        <v>11</v>
      </c>
      <c r="FY64" s="108">
        <v>1.5442931349150639E-3</v>
      </c>
      <c r="FZ64" s="107">
        <v>215</v>
      </c>
      <c r="GA64" s="108">
        <v>4.1258875455766647E-2</v>
      </c>
      <c r="GB64" s="107">
        <v>4</v>
      </c>
      <c r="GC64" s="108">
        <v>7.6760698522356549E-4</v>
      </c>
      <c r="GD64" s="107">
        <v>3778</v>
      </c>
      <c r="GE64" s="117">
        <v>0.16337297297297299</v>
      </c>
      <c r="GF64" s="107">
        <v>34</v>
      </c>
      <c r="GG64" s="117">
        <v>1.4702702702702702E-3</v>
      </c>
      <c r="GH64" s="107">
        <v>14978</v>
      </c>
      <c r="GI64" s="107">
        <v>2860</v>
      </c>
      <c r="GJ64" s="108">
        <f t="shared" si="81"/>
        <v>0.19094672185872613</v>
      </c>
      <c r="GK64" s="107">
        <v>1199</v>
      </c>
      <c r="GL64" s="108">
        <f t="shared" si="82"/>
        <v>0.41923076923076924</v>
      </c>
      <c r="GM64" s="107">
        <v>1290</v>
      </c>
      <c r="GN64" s="108">
        <f t="shared" si="83"/>
        <v>0.45104895104895104</v>
      </c>
      <c r="GO64" s="107">
        <v>12118</v>
      </c>
      <c r="GP64" s="108">
        <f t="shared" si="84"/>
        <v>0.80905327814127392</v>
      </c>
      <c r="GQ64" s="107">
        <v>9601</v>
      </c>
      <c r="GR64" s="108">
        <f t="shared" si="85"/>
        <v>0.79229245750123778</v>
      </c>
      <c r="GS64" s="107">
        <v>2446</v>
      </c>
      <c r="GT64" s="108">
        <f t="shared" si="86"/>
        <v>0.20184848984981019</v>
      </c>
    </row>
    <row r="65" spans="1:202" x14ac:dyDescent="0.25">
      <c r="A65" s="104" t="s">
        <v>237</v>
      </c>
      <c r="B65" s="143">
        <v>20024</v>
      </c>
      <c r="C65" s="143">
        <v>6023</v>
      </c>
      <c r="D65" s="143">
        <v>4276</v>
      </c>
      <c r="E65" s="143">
        <v>1727</v>
      </c>
      <c r="F65" s="143">
        <v>599</v>
      </c>
      <c r="G65" s="144">
        <f t="shared" si="2"/>
        <v>0.30078905313623649</v>
      </c>
      <c r="H65" s="144">
        <f t="shared" si="3"/>
        <v>0.2135437475029964</v>
      </c>
      <c r="I65" s="144">
        <f t="shared" si="4"/>
        <v>8.6246504194966045E-2</v>
      </c>
      <c r="J65" s="144">
        <f t="shared" si="5"/>
        <v>2.9914103076308429E-2</v>
      </c>
      <c r="K65" s="143">
        <v>2106</v>
      </c>
      <c r="L65" s="145">
        <f t="shared" si="6"/>
        <v>0.49251637043966323</v>
      </c>
      <c r="M65" s="143">
        <v>2170</v>
      </c>
      <c r="N65" s="145">
        <f t="shared" si="7"/>
        <v>0.50748362956033677</v>
      </c>
      <c r="O65" s="148">
        <v>44.2</v>
      </c>
      <c r="P65" s="107">
        <v>8046</v>
      </c>
      <c r="Q65" s="107">
        <v>4027</v>
      </c>
      <c r="R65" s="108">
        <f t="shared" si="8"/>
        <v>0.50049714143673874</v>
      </c>
      <c r="S65" s="107">
        <v>2980</v>
      </c>
      <c r="T65" s="149">
        <f t="shared" si="9"/>
        <v>0.37037037037037035</v>
      </c>
      <c r="U65" s="143">
        <v>2106</v>
      </c>
      <c r="V65" s="107">
        <v>200</v>
      </c>
      <c r="W65" s="108">
        <f t="shared" si="10"/>
        <v>9.4966761633428307E-2</v>
      </c>
      <c r="X65" s="107">
        <v>1362</v>
      </c>
      <c r="Y65" s="150">
        <f t="shared" si="11"/>
        <v>0.64672364672364668</v>
      </c>
      <c r="Z65" s="107">
        <v>162</v>
      </c>
      <c r="AA65" s="108">
        <f t="shared" si="12"/>
        <v>7.6923076923076927E-2</v>
      </c>
      <c r="AB65" s="107">
        <v>134</v>
      </c>
      <c r="AC65" s="108">
        <f t="shared" si="13"/>
        <v>6.3627730294396959E-2</v>
      </c>
      <c r="AD65" s="107">
        <v>248</v>
      </c>
      <c r="AE65" s="108">
        <f t="shared" si="14"/>
        <v>0.1177587844254511</v>
      </c>
      <c r="AF65" s="107">
        <v>2170</v>
      </c>
      <c r="AG65" s="107">
        <v>62</v>
      </c>
      <c r="AH65" s="108">
        <f t="shared" si="15"/>
        <v>2.8571428571428571E-2</v>
      </c>
      <c r="AI65" s="107">
        <v>1136</v>
      </c>
      <c r="AJ65" s="108">
        <f t="shared" si="16"/>
        <v>0.52350230414746546</v>
      </c>
      <c r="AK65" s="107">
        <v>28</v>
      </c>
      <c r="AL65" s="108">
        <f t="shared" si="17"/>
        <v>1.2903225806451613E-2</v>
      </c>
      <c r="AM65" s="107">
        <v>653</v>
      </c>
      <c r="AN65" s="108">
        <f t="shared" si="18"/>
        <v>0.30092165898617512</v>
      </c>
      <c r="AO65" s="107">
        <v>291</v>
      </c>
      <c r="AP65" s="108">
        <f t="shared" si="19"/>
        <v>0.13410138248847928</v>
      </c>
      <c r="AQ65" s="107">
        <f t="shared" si="20"/>
        <v>4276</v>
      </c>
      <c r="AR65" s="107">
        <f t="shared" si="21"/>
        <v>262</v>
      </c>
      <c r="AS65" s="108">
        <f t="shared" si="22"/>
        <v>6.1272217025257251E-2</v>
      </c>
      <c r="AT65" s="107">
        <f t="shared" si="23"/>
        <v>2498</v>
      </c>
      <c r="AU65" s="108">
        <f t="shared" si="24"/>
        <v>0.58419083255378856</v>
      </c>
      <c r="AV65" s="107">
        <f t="shared" si="25"/>
        <v>190</v>
      </c>
      <c r="AW65" s="108">
        <f t="shared" si="26"/>
        <v>4.4434050514499529E-2</v>
      </c>
      <c r="AX65" s="107">
        <f t="shared" si="27"/>
        <v>787</v>
      </c>
      <c r="AY65" s="108">
        <f t="shared" si="28"/>
        <v>0.18405051449953228</v>
      </c>
      <c r="AZ65" s="107">
        <f t="shared" si="29"/>
        <v>539</v>
      </c>
      <c r="BA65" s="108">
        <f t="shared" si="30"/>
        <v>0.12605238540692235</v>
      </c>
      <c r="BB65" s="111">
        <v>2046</v>
      </c>
      <c r="BC65" s="111">
        <v>584</v>
      </c>
      <c r="BD65" s="152">
        <f t="shared" si="31"/>
        <v>0.28543499511241449</v>
      </c>
      <c r="BE65" s="111">
        <v>2120</v>
      </c>
      <c r="BF65" s="111">
        <v>568</v>
      </c>
      <c r="BG65" s="152">
        <f t="shared" si="0"/>
        <v>0.26792452830188679</v>
      </c>
      <c r="BH65" s="153">
        <f t="shared" si="32"/>
        <v>4166</v>
      </c>
      <c r="BI65" s="153">
        <f t="shared" si="33"/>
        <v>1152</v>
      </c>
      <c r="BJ65" s="154">
        <f t="shared" si="34"/>
        <v>0.27652424387902064</v>
      </c>
      <c r="BK65" s="107">
        <v>4276</v>
      </c>
      <c r="BL65" s="107">
        <v>1177</v>
      </c>
      <c r="BM65" s="108">
        <f t="shared" si="87"/>
        <v>0.27525724976613658</v>
      </c>
      <c r="BN65" s="107">
        <v>2106</v>
      </c>
      <c r="BO65" s="107">
        <v>458</v>
      </c>
      <c r="BP65" s="108">
        <f t="shared" si="35"/>
        <v>0.2174738841405508</v>
      </c>
      <c r="BQ65" s="107">
        <v>2170</v>
      </c>
      <c r="BR65" s="107">
        <v>719</v>
      </c>
      <c r="BS65" s="108">
        <f t="shared" si="36"/>
        <v>0.33133640552995391</v>
      </c>
      <c r="BT65" s="113">
        <v>20167</v>
      </c>
      <c r="BU65" s="113">
        <v>4608</v>
      </c>
      <c r="BV65" s="156">
        <f t="shared" si="37"/>
        <v>0.22849209103981752</v>
      </c>
      <c r="BW65" s="156">
        <f t="shared" si="38"/>
        <v>1</v>
      </c>
      <c r="BX65" s="113">
        <v>18972</v>
      </c>
      <c r="BY65" s="113">
        <v>4519</v>
      </c>
      <c r="BZ65" s="156">
        <f t="shared" si="39"/>
        <v>0.23819312671305082</v>
      </c>
      <c r="CA65" s="156">
        <f t="shared" si="40"/>
        <v>0.98068576388888884</v>
      </c>
      <c r="CB65" s="113">
        <v>105</v>
      </c>
      <c r="CC65" s="113">
        <v>3</v>
      </c>
      <c r="CD65" s="156">
        <f t="shared" si="41"/>
        <v>2.8571428571428571E-2</v>
      </c>
      <c r="CE65" s="156">
        <f t="shared" si="88"/>
        <v>6.5104166666666663E-4</v>
      </c>
      <c r="CF65" s="113">
        <v>74</v>
      </c>
      <c r="CG65" s="113">
        <v>19</v>
      </c>
      <c r="CH65" s="156">
        <f t="shared" si="42"/>
        <v>0.25675675675675674</v>
      </c>
      <c r="CI65" s="156">
        <f t="shared" si="43"/>
        <v>4.123263888888889E-3</v>
      </c>
      <c r="CJ65" s="113">
        <v>129</v>
      </c>
      <c r="CK65" s="113">
        <v>10</v>
      </c>
      <c r="CL65" s="161">
        <f t="shared" si="44"/>
        <v>7.7519379844961239E-2</v>
      </c>
      <c r="CM65" s="156">
        <f t="shared" si="45"/>
        <v>2.170138888888889E-3</v>
      </c>
      <c r="CN65" s="113">
        <v>8</v>
      </c>
      <c r="CO65" s="113">
        <v>2</v>
      </c>
      <c r="CP65" s="161">
        <f t="shared" si="46"/>
        <v>0.25</v>
      </c>
      <c r="CQ65" s="156">
        <f t="shared" si="47"/>
        <v>4.3402777777777775E-4</v>
      </c>
      <c r="CR65" s="105">
        <v>18</v>
      </c>
      <c r="CS65" s="105">
        <v>0</v>
      </c>
      <c r="CT65" s="106">
        <f t="shared" si="48"/>
        <v>0</v>
      </c>
      <c r="CU65" s="106">
        <f t="shared" si="49"/>
        <v>0</v>
      </c>
      <c r="CV65" s="113">
        <v>203</v>
      </c>
      <c r="CW65" s="113">
        <v>23</v>
      </c>
      <c r="CX65" s="156">
        <f t="shared" si="50"/>
        <v>0.11330049261083744</v>
      </c>
      <c r="CY65" s="156">
        <f t="shared" si="51"/>
        <v>4.9913194444444441E-3</v>
      </c>
      <c r="CZ65" s="113">
        <v>676</v>
      </c>
      <c r="DA65" s="113">
        <v>32</v>
      </c>
      <c r="DB65" s="156">
        <f t="shared" si="52"/>
        <v>4.7337278106508875E-2</v>
      </c>
      <c r="DC65" s="156">
        <f t="shared" si="89"/>
        <v>6.9444444444444441E-3</v>
      </c>
      <c r="DD65" s="107">
        <v>2106</v>
      </c>
      <c r="DE65" s="107">
        <v>222</v>
      </c>
      <c r="DF65" s="107">
        <v>1135</v>
      </c>
      <c r="DG65" s="107">
        <v>540</v>
      </c>
      <c r="DH65" s="107">
        <v>209</v>
      </c>
      <c r="DI65" s="149">
        <f t="shared" si="53"/>
        <v>0.10541310541310542</v>
      </c>
      <c r="DJ65" s="149">
        <f t="shared" si="54"/>
        <v>0.53893637226970559</v>
      </c>
      <c r="DK65" s="149">
        <f t="shared" si="55"/>
        <v>0.35565052231718897</v>
      </c>
      <c r="DL65" s="107">
        <v>2170</v>
      </c>
      <c r="DM65" s="107">
        <v>113</v>
      </c>
      <c r="DN65" s="107">
        <v>1149</v>
      </c>
      <c r="DO65" s="107">
        <v>567</v>
      </c>
      <c r="DP65" s="107">
        <v>341</v>
      </c>
      <c r="DQ65" s="149">
        <f t="shared" si="56"/>
        <v>5.2073732718894011E-2</v>
      </c>
      <c r="DR65" s="149">
        <f t="shared" si="57"/>
        <v>0.52949308755760371</v>
      </c>
      <c r="DS65" s="149">
        <f t="shared" si="58"/>
        <v>0.4184331797235023</v>
      </c>
      <c r="DT65" s="107">
        <f t="shared" si="59"/>
        <v>4276</v>
      </c>
      <c r="DU65" s="107">
        <f t="shared" si="60"/>
        <v>335</v>
      </c>
      <c r="DV65" s="107">
        <f t="shared" si="61"/>
        <v>2284</v>
      </c>
      <c r="DW65" s="107">
        <f t="shared" si="62"/>
        <v>1107</v>
      </c>
      <c r="DX65" s="107">
        <f t="shared" si="63"/>
        <v>550</v>
      </c>
      <c r="DY65" s="108">
        <f t="shared" si="64"/>
        <v>7.8344246959775488E-2</v>
      </c>
      <c r="DZ65" s="108">
        <f t="shared" si="65"/>
        <v>0.53414405986903646</v>
      </c>
      <c r="EA65" s="108">
        <f t="shared" si="66"/>
        <v>0.387511693171188</v>
      </c>
      <c r="EB65" s="107">
        <v>2641</v>
      </c>
      <c r="EC65" s="110">
        <v>231</v>
      </c>
      <c r="ED65" s="108">
        <f t="shared" si="67"/>
        <v>8.7466868610374865E-2</v>
      </c>
      <c r="EE65" s="107">
        <v>630</v>
      </c>
      <c r="EF65" s="108">
        <f t="shared" si="67"/>
        <v>0.23854600530102235</v>
      </c>
      <c r="EG65" s="107">
        <v>1005</v>
      </c>
      <c r="EH65" s="108">
        <f t="shared" ref="EH65" si="503">EG65/$EB65</f>
        <v>0.38053767512305947</v>
      </c>
      <c r="EI65" s="107">
        <v>1471</v>
      </c>
      <c r="EJ65" s="108">
        <f t="shared" ref="EJ65" si="504">EI65/$EB65</f>
        <v>0.55698599015524419</v>
      </c>
      <c r="EK65" s="107">
        <v>2002</v>
      </c>
      <c r="EL65" s="108">
        <f t="shared" ref="EL65" si="505">EK65/$EB65</f>
        <v>0.75804619462324874</v>
      </c>
      <c r="EM65" s="107">
        <v>2275</v>
      </c>
      <c r="EN65" s="108">
        <f t="shared" ref="EN65" si="506">EM65/$EB65</f>
        <v>0.86141613025369179</v>
      </c>
      <c r="EO65" s="163">
        <v>69350</v>
      </c>
      <c r="EP65" s="163">
        <v>50946</v>
      </c>
      <c r="EQ65" s="163">
        <v>87694</v>
      </c>
      <c r="ER65" s="163">
        <v>82635</v>
      </c>
      <c r="ES65" s="163">
        <v>43797</v>
      </c>
      <c r="ET65" s="107">
        <v>2046</v>
      </c>
      <c r="EU65" s="107">
        <v>168</v>
      </c>
      <c r="EV65" s="108">
        <f t="shared" si="72"/>
        <v>8.2111436950146624E-2</v>
      </c>
      <c r="EW65" s="107">
        <v>2120</v>
      </c>
      <c r="EX65" s="107">
        <v>234</v>
      </c>
      <c r="EY65" s="108">
        <f t="shared" si="73"/>
        <v>0.11037735849056604</v>
      </c>
      <c r="EZ65" s="107">
        <f t="shared" si="74"/>
        <v>4166</v>
      </c>
      <c r="FA65" s="107">
        <f t="shared" si="75"/>
        <v>402</v>
      </c>
      <c r="FB65" s="108">
        <f t="shared" si="76"/>
        <v>9.6495439270283243E-2</v>
      </c>
      <c r="FC65" s="107">
        <v>4166</v>
      </c>
      <c r="FD65" s="107">
        <v>402</v>
      </c>
      <c r="FE65" s="108">
        <f t="shared" si="77"/>
        <v>9.6495439270283243E-2</v>
      </c>
      <c r="FF65" s="107">
        <v>818</v>
      </c>
      <c r="FG65" s="108">
        <f t="shared" si="77"/>
        <v>0.19635141622659624</v>
      </c>
      <c r="FH65" s="107">
        <v>1160</v>
      </c>
      <c r="FI65" s="108">
        <f t="shared" ref="FI65" si="507">FH65/$FC65</f>
        <v>0.27844455112818051</v>
      </c>
      <c r="FJ65" s="107">
        <v>1380</v>
      </c>
      <c r="FK65" s="108">
        <f t="shared" ref="FK65" si="508">FJ65/$FC65</f>
        <v>0.33125300048007683</v>
      </c>
      <c r="FL65" s="107">
        <v>2347</v>
      </c>
      <c r="FM65" s="108">
        <f t="shared" ref="FM65" si="509">FL65/$FC65</f>
        <v>0.56337013922227552</v>
      </c>
      <c r="FN65" s="107">
        <v>356</v>
      </c>
      <c r="FO65" s="108">
        <v>0.27010622154779967</v>
      </c>
      <c r="FP65" s="107">
        <v>2</v>
      </c>
      <c r="FQ65" s="108">
        <v>1.5174506828528073E-3</v>
      </c>
      <c r="FR65" s="107">
        <v>36</v>
      </c>
      <c r="FS65" s="108">
        <v>4.5685279187817257E-2</v>
      </c>
      <c r="FT65" s="110">
        <v>0</v>
      </c>
      <c r="FU65" s="108">
        <v>0</v>
      </c>
      <c r="FV65" s="107">
        <v>242</v>
      </c>
      <c r="FW65" s="108">
        <v>0.19658813972380179</v>
      </c>
      <c r="FX65" s="107">
        <v>1</v>
      </c>
      <c r="FY65" s="108">
        <v>8.1234768480909826E-4</v>
      </c>
      <c r="FZ65" s="107">
        <v>55</v>
      </c>
      <c r="GA65" s="108">
        <v>5.8572949946751864E-2</v>
      </c>
      <c r="GB65" s="107">
        <v>0</v>
      </c>
      <c r="GC65" s="108">
        <v>0</v>
      </c>
      <c r="GD65" s="107">
        <v>689</v>
      </c>
      <c r="GE65" s="117">
        <v>0.16113189897100094</v>
      </c>
      <c r="GF65" s="107">
        <v>3</v>
      </c>
      <c r="GG65" s="117">
        <v>7.0159027128157152E-4</v>
      </c>
      <c r="GH65" s="107">
        <v>2641</v>
      </c>
      <c r="GI65" s="107">
        <v>553</v>
      </c>
      <c r="GJ65" s="108">
        <f t="shared" si="81"/>
        <v>0.20939038243089739</v>
      </c>
      <c r="GK65" s="107">
        <v>261</v>
      </c>
      <c r="GL65" s="108">
        <f t="shared" si="82"/>
        <v>0.47197106690777579</v>
      </c>
      <c r="GM65" s="107">
        <v>199</v>
      </c>
      <c r="GN65" s="108">
        <f t="shared" si="83"/>
        <v>0.35985533453887886</v>
      </c>
      <c r="GO65" s="107">
        <v>2088</v>
      </c>
      <c r="GP65" s="108">
        <f t="shared" si="84"/>
        <v>0.79060961756910264</v>
      </c>
      <c r="GQ65" s="107">
        <v>1575</v>
      </c>
      <c r="GR65" s="108">
        <f t="shared" si="85"/>
        <v>0.75431034482758619</v>
      </c>
      <c r="GS65" s="107">
        <v>490</v>
      </c>
      <c r="GT65" s="108">
        <f t="shared" si="86"/>
        <v>0.23467432950191572</v>
      </c>
    </row>
    <row r="66" spans="1:202" x14ac:dyDescent="0.25">
      <c r="A66" s="104" t="s">
        <v>13</v>
      </c>
      <c r="B66" s="143">
        <v>30839</v>
      </c>
      <c r="C66" s="143">
        <v>7766</v>
      </c>
      <c r="D66" s="143">
        <v>5758</v>
      </c>
      <c r="E66" s="143">
        <v>2370</v>
      </c>
      <c r="F66" s="143">
        <v>708</v>
      </c>
      <c r="G66" s="144">
        <f t="shared" si="2"/>
        <v>0.2518239891047051</v>
      </c>
      <c r="H66" s="144">
        <f t="shared" si="3"/>
        <v>0.18671163137585525</v>
      </c>
      <c r="I66" s="144">
        <f t="shared" si="4"/>
        <v>7.6850740944907417E-2</v>
      </c>
      <c r="J66" s="144">
        <f t="shared" si="5"/>
        <v>2.2957942864554621E-2</v>
      </c>
      <c r="K66" s="143">
        <v>2786</v>
      </c>
      <c r="L66" s="145">
        <f t="shared" si="6"/>
        <v>0.48384855852726644</v>
      </c>
      <c r="M66" s="143">
        <v>2972</v>
      </c>
      <c r="N66" s="145">
        <f t="shared" si="7"/>
        <v>0.51615144147273362</v>
      </c>
      <c r="O66" s="148">
        <v>39.9</v>
      </c>
      <c r="P66" s="107">
        <v>12533</v>
      </c>
      <c r="Q66" s="107">
        <v>5340</v>
      </c>
      <c r="R66" s="108">
        <f t="shared" si="8"/>
        <v>0.4260751615734461</v>
      </c>
      <c r="S66" s="107">
        <v>3988</v>
      </c>
      <c r="T66" s="149">
        <f t="shared" si="9"/>
        <v>0.31819995212638635</v>
      </c>
      <c r="U66" s="143">
        <v>2786</v>
      </c>
      <c r="V66" s="107">
        <v>122</v>
      </c>
      <c r="W66" s="108">
        <f t="shared" si="10"/>
        <v>4.379038047379756E-2</v>
      </c>
      <c r="X66" s="107">
        <v>1775</v>
      </c>
      <c r="Y66" s="150">
        <f t="shared" si="11"/>
        <v>0.63711414213926776</v>
      </c>
      <c r="Z66" s="107">
        <v>82</v>
      </c>
      <c r="AA66" s="108">
        <f t="shared" si="12"/>
        <v>2.9432878679109833E-2</v>
      </c>
      <c r="AB66" s="107">
        <v>345</v>
      </c>
      <c r="AC66" s="108">
        <f t="shared" si="13"/>
        <v>0.12383345297918162</v>
      </c>
      <c r="AD66" s="107">
        <v>462</v>
      </c>
      <c r="AE66" s="108">
        <f t="shared" si="14"/>
        <v>0.16582914572864321</v>
      </c>
      <c r="AF66" s="107">
        <v>2972</v>
      </c>
      <c r="AG66" s="107">
        <v>64</v>
      </c>
      <c r="AH66" s="108">
        <f t="shared" si="15"/>
        <v>2.1534320323014805E-2</v>
      </c>
      <c r="AI66" s="107">
        <v>1629</v>
      </c>
      <c r="AJ66" s="108">
        <f t="shared" si="16"/>
        <v>0.54811574697173615</v>
      </c>
      <c r="AK66" s="107">
        <v>51</v>
      </c>
      <c r="AL66" s="108">
        <f t="shared" si="17"/>
        <v>1.7160161507402422E-2</v>
      </c>
      <c r="AM66" s="107">
        <v>948</v>
      </c>
      <c r="AN66" s="108">
        <f t="shared" si="18"/>
        <v>0.31897711978465682</v>
      </c>
      <c r="AO66" s="107">
        <v>280</v>
      </c>
      <c r="AP66" s="108">
        <f t="shared" si="19"/>
        <v>9.4212651413189769E-2</v>
      </c>
      <c r="AQ66" s="107">
        <f t="shared" si="20"/>
        <v>5758</v>
      </c>
      <c r="AR66" s="107">
        <f t="shared" si="21"/>
        <v>186</v>
      </c>
      <c r="AS66" s="108">
        <f t="shared" si="22"/>
        <v>3.2302882945467175E-2</v>
      </c>
      <c r="AT66" s="107">
        <f t="shared" si="23"/>
        <v>3404</v>
      </c>
      <c r="AU66" s="108">
        <f t="shared" si="24"/>
        <v>0.59117749218478644</v>
      </c>
      <c r="AV66" s="107">
        <f t="shared" si="25"/>
        <v>133</v>
      </c>
      <c r="AW66" s="108">
        <f t="shared" si="26"/>
        <v>2.3098298020145885E-2</v>
      </c>
      <c r="AX66" s="107">
        <f t="shared" si="27"/>
        <v>1293</v>
      </c>
      <c r="AY66" s="108">
        <f t="shared" si="28"/>
        <v>0.22455713789510245</v>
      </c>
      <c r="AZ66" s="107">
        <f t="shared" si="29"/>
        <v>742</v>
      </c>
      <c r="BA66" s="108">
        <f t="shared" si="30"/>
        <v>0.12886418895449808</v>
      </c>
      <c r="BB66" s="111">
        <v>2674</v>
      </c>
      <c r="BC66" s="111">
        <v>916</v>
      </c>
      <c r="BD66" s="152">
        <f t="shared" si="31"/>
        <v>0.34255796559461482</v>
      </c>
      <c r="BE66" s="111">
        <v>2799</v>
      </c>
      <c r="BF66" s="111">
        <v>594</v>
      </c>
      <c r="BG66" s="152">
        <f t="shared" si="0"/>
        <v>0.21221864951768488</v>
      </c>
      <c r="BH66" s="153">
        <f t="shared" si="32"/>
        <v>5473</v>
      </c>
      <c r="BI66" s="153">
        <f t="shared" si="33"/>
        <v>1510</v>
      </c>
      <c r="BJ66" s="154">
        <f t="shared" si="34"/>
        <v>0.27589987209939704</v>
      </c>
      <c r="BK66" s="107">
        <v>5758</v>
      </c>
      <c r="BL66" s="107">
        <v>1613</v>
      </c>
      <c r="BM66" s="108">
        <f t="shared" si="87"/>
        <v>0.28013199027440083</v>
      </c>
      <c r="BN66" s="107">
        <v>2786</v>
      </c>
      <c r="BO66" s="107">
        <v>693</v>
      </c>
      <c r="BP66" s="108">
        <f t="shared" si="35"/>
        <v>0.24874371859296482</v>
      </c>
      <c r="BQ66" s="107">
        <v>2972</v>
      </c>
      <c r="BR66" s="107">
        <v>920</v>
      </c>
      <c r="BS66" s="108">
        <f t="shared" si="36"/>
        <v>0.30955585464333785</v>
      </c>
      <c r="BT66" s="113">
        <v>30801</v>
      </c>
      <c r="BU66" s="113">
        <v>6091</v>
      </c>
      <c r="BV66" s="156">
        <f t="shared" si="37"/>
        <v>0.19775331969741242</v>
      </c>
      <c r="BW66" s="156">
        <f t="shared" si="38"/>
        <v>1</v>
      </c>
      <c r="BX66" s="113">
        <v>25956</v>
      </c>
      <c r="BY66" s="113">
        <v>5947</v>
      </c>
      <c r="BZ66" s="156">
        <f t="shared" si="39"/>
        <v>0.22911850824472182</v>
      </c>
      <c r="CA66" s="156">
        <f t="shared" si="40"/>
        <v>0.97635856181251024</v>
      </c>
      <c r="CB66" s="113">
        <v>179</v>
      </c>
      <c r="CC66" s="113">
        <v>6</v>
      </c>
      <c r="CD66" s="156">
        <f t="shared" si="41"/>
        <v>3.3519553072625698E-2</v>
      </c>
      <c r="CE66" s="156">
        <f t="shared" si="88"/>
        <v>9.8505992447873916E-4</v>
      </c>
      <c r="CF66" s="113">
        <v>82</v>
      </c>
      <c r="CG66" s="113">
        <v>7</v>
      </c>
      <c r="CH66" s="156">
        <f t="shared" si="42"/>
        <v>8.5365853658536592E-2</v>
      </c>
      <c r="CI66" s="156">
        <f t="shared" si="43"/>
        <v>1.1492365785585289E-3</v>
      </c>
      <c r="CJ66" s="113">
        <v>212</v>
      </c>
      <c r="CK66" s="113">
        <v>19</v>
      </c>
      <c r="CL66" s="161">
        <f t="shared" si="44"/>
        <v>8.9622641509433956E-2</v>
      </c>
      <c r="CM66" s="156">
        <f t="shared" si="45"/>
        <v>3.1193564275160072E-3</v>
      </c>
      <c r="CN66" s="113">
        <v>6</v>
      </c>
      <c r="CO66" s="113">
        <v>2</v>
      </c>
      <c r="CP66" s="161">
        <f t="shared" si="46"/>
        <v>0.33333333333333331</v>
      </c>
      <c r="CQ66" s="156">
        <f t="shared" si="47"/>
        <v>3.283533081595797E-4</v>
      </c>
      <c r="CR66" s="105">
        <v>911</v>
      </c>
      <c r="CS66" s="105">
        <v>0</v>
      </c>
      <c r="CT66" s="106">
        <f t="shared" si="48"/>
        <v>0</v>
      </c>
      <c r="CU66" s="106">
        <f t="shared" si="49"/>
        <v>0</v>
      </c>
      <c r="CV66" s="113">
        <v>327</v>
      </c>
      <c r="CW66" s="113">
        <v>13</v>
      </c>
      <c r="CX66" s="156">
        <f t="shared" si="50"/>
        <v>3.9755351681957186E-2</v>
      </c>
      <c r="CY66" s="156">
        <f t="shared" si="51"/>
        <v>2.134296503037268E-3</v>
      </c>
      <c r="CZ66" s="113">
        <v>4039</v>
      </c>
      <c r="DA66" s="113">
        <v>97</v>
      </c>
      <c r="DB66" s="156">
        <f t="shared" si="52"/>
        <v>2.4015845506313444E-2</v>
      </c>
      <c r="DC66" s="156">
        <f t="shared" si="89"/>
        <v>1.5925135445739615E-2</v>
      </c>
      <c r="DD66" s="107">
        <v>2786</v>
      </c>
      <c r="DE66" s="107">
        <v>184</v>
      </c>
      <c r="DF66" s="107">
        <v>1400</v>
      </c>
      <c r="DG66" s="107">
        <v>692</v>
      </c>
      <c r="DH66" s="107">
        <v>510</v>
      </c>
      <c r="DI66" s="149">
        <f t="shared" si="53"/>
        <v>6.604450825556353E-2</v>
      </c>
      <c r="DJ66" s="149">
        <f t="shared" si="54"/>
        <v>0.50251256281407031</v>
      </c>
      <c r="DK66" s="149">
        <f t="shared" si="55"/>
        <v>0.43144292893036612</v>
      </c>
      <c r="DL66" s="107">
        <v>2972</v>
      </c>
      <c r="DM66" s="107">
        <v>257</v>
      </c>
      <c r="DN66" s="107">
        <v>1319</v>
      </c>
      <c r="DO66" s="107">
        <v>897</v>
      </c>
      <c r="DP66" s="107">
        <v>499</v>
      </c>
      <c r="DQ66" s="149">
        <f t="shared" si="56"/>
        <v>8.6473755047106332E-2</v>
      </c>
      <c r="DR66" s="149">
        <f t="shared" si="57"/>
        <v>0.44380888290713322</v>
      </c>
      <c r="DS66" s="149">
        <f t="shared" si="58"/>
        <v>0.46971736204576042</v>
      </c>
      <c r="DT66" s="107">
        <f t="shared" si="59"/>
        <v>5758</v>
      </c>
      <c r="DU66" s="107">
        <f t="shared" si="60"/>
        <v>441</v>
      </c>
      <c r="DV66" s="107">
        <f t="shared" si="61"/>
        <v>2719</v>
      </c>
      <c r="DW66" s="107">
        <f t="shared" si="62"/>
        <v>1589</v>
      </c>
      <c r="DX66" s="107">
        <f t="shared" si="63"/>
        <v>1009</v>
      </c>
      <c r="DY66" s="108">
        <f t="shared" si="64"/>
        <v>7.6589093435220565E-2</v>
      </c>
      <c r="DZ66" s="108">
        <f t="shared" si="65"/>
        <v>0.47221257381035081</v>
      </c>
      <c r="EA66" s="108">
        <f t="shared" si="66"/>
        <v>0.45119833275442861</v>
      </c>
      <c r="EB66" s="107">
        <v>3635</v>
      </c>
      <c r="EC66" s="110">
        <v>316</v>
      </c>
      <c r="ED66" s="108">
        <f t="shared" si="67"/>
        <v>8.6932599724896836E-2</v>
      </c>
      <c r="EE66" s="107">
        <v>819</v>
      </c>
      <c r="EF66" s="108">
        <f t="shared" si="67"/>
        <v>0.22530949105914719</v>
      </c>
      <c r="EG66" s="107">
        <v>1260</v>
      </c>
      <c r="EH66" s="108">
        <f t="shared" ref="EH66" si="510">EG66/$EB66</f>
        <v>0.34662998624484181</v>
      </c>
      <c r="EI66" s="107">
        <v>1820</v>
      </c>
      <c r="EJ66" s="108">
        <f t="shared" ref="EJ66" si="511">EI66/$EB66</f>
        <v>0.50068775790921594</v>
      </c>
      <c r="EK66" s="107">
        <v>2601</v>
      </c>
      <c r="EL66" s="108">
        <f t="shared" ref="EL66" si="512">EK66/$EB66</f>
        <v>0.71554332874828064</v>
      </c>
      <c r="EM66" s="107">
        <v>3098</v>
      </c>
      <c r="EN66" s="108">
        <f t="shared" ref="EN66" si="513">EM66/$EB66</f>
        <v>0.85226960110041261</v>
      </c>
      <c r="EO66" s="163">
        <v>76313</v>
      </c>
      <c r="EP66" s="163">
        <v>58750</v>
      </c>
      <c r="EQ66" s="163">
        <v>97419</v>
      </c>
      <c r="ER66" s="163">
        <v>88856</v>
      </c>
      <c r="ES66" s="163">
        <v>49943</v>
      </c>
      <c r="ET66" s="107">
        <v>2674</v>
      </c>
      <c r="EU66" s="107">
        <v>152</v>
      </c>
      <c r="EV66" s="108">
        <f t="shared" si="72"/>
        <v>5.6843679880329095E-2</v>
      </c>
      <c r="EW66" s="107">
        <v>2799</v>
      </c>
      <c r="EX66" s="107">
        <v>286</v>
      </c>
      <c r="EY66" s="108">
        <f t="shared" si="73"/>
        <v>0.10217934976777421</v>
      </c>
      <c r="EZ66" s="107">
        <f t="shared" si="74"/>
        <v>5473</v>
      </c>
      <c r="FA66" s="107">
        <f t="shared" si="75"/>
        <v>438</v>
      </c>
      <c r="FB66" s="108">
        <f t="shared" si="76"/>
        <v>8.0029234423533713E-2</v>
      </c>
      <c r="FC66" s="107">
        <v>5473</v>
      </c>
      <c r="FD66" s="107">
        <v>438</v>
      </c>
      <c r="FE66" s="108">
        <f t="shared" si="77"/>
        <v>8.0029234423533713E-2</v>
      </c>
      <c r="FF66" s="107">
        <v>987</v>
      </c>
      <c r="FG66" s="108">
        <f t="shared" si="77"/>
        <v>0.1803398501735794</v>
      </c>
      <c r="FH66" s="107">
        <v>1352</v>
      </c>
      <c r="FI66" s="108">
        <f t="shared" ref="FI66" si="514">FH66/$FC66</f>
        <v>0.24703087885985747</v>
      </c>
      <c r="FJ66" s="107">
        <v>1520</v>
      </c>
      <c r="FK66" s="108">
        <f t="shared" ref="FK66" si="515">FJ66/$FC66</f>
        <v>0.27772702357025397</v>
      </c>
      <c r="FL66" s="107">
        <v>2757</v>
      </c>
      <c r="FM66" s="108">
        <f t="shared" ref="FM66" si="516">FL66/$FC66</f>
        <v>0.50374566051525671</v>
      </c>
      <c r="FN66" s="107">
        <v>479</v>
      </c>
      <c r="FO66" s="108">
        <v>0.27465596330275227</v>
      </c>
      <c r="FP66" s="107">
        <v>2</v>
      </c>
      <c r="FQ66" s="108">
        <v>1.1467889908256881E-3</v>
      </c>
      <c r="FR66" s="107">
        <v>149</v>
      </c>
      <c r="FS66" s="108">
        <v>0.14299424184261036</v>
      </c>
      <c r="FT66" s="110">
        <v>0</v>
      </c>
      <c r="FU66" s="108">
        <v>0</v>
      </c>
      <c r="FV66" s="107">
        <v>396</v>
      </c>
      <c r="FW66" s="108">
        <v>0.24087591240875914</v>
      </c>
      <c r="FX66" s="107">
        <v>3</v>
      </c>
      <c r="FY66" s="108">
        <v>1.8248175182481751E-3</v>
      </c>
      <c r="FZ66" s="107">
        <v>44</v>
      </c>
      <c r="GA66" s="108">
        <v>3.313253012048193E-2</v>
      </c>
      <c r="GB66" s="107">
        <v>0</v>
      </c>
      <c r="GC66" s="108">
        <v>0</v>
      </c>
      <c r="GD66" s="107">
        <v>1068</v>
      </c>
      <c r="GE66" s="117">
        <v>0.18548106981590831</v>
      </c>
      <c r="GF66" s="107">
        <v>5</v>
      </c>
      <c r="GG66" s="117">
        <v>8.6835706842653695E-4</v>
      </c>
      <c r="GH66" s="107">
        <v>3635</v>
      </c>
      <c r="GI66" s="107">
        <v>728</v>
      </c>
      <c r="GJ66" s="108">
        <f t="shared" si="81"/>
        <v>0.20027510316368638</v>
      </c>
      <c r="GK66" s="107">
        <v>257</v>
      </c>
      <c r="GL66" s="108">
        <f t="shared" si="82"/>
        <v>0.35302197802197804</v>
      </c>
      <c r="GM66" s="107">
        <v>330</v>
      </c>
      <c r="GN66" s="108">
        <f t="shared" si="83"/>
        <v>0.4532967032967033</v>
      </c>
      <c r="GO66" s="107">
        <v>2907</v>
      </c>
      <c r="GP66" s="108">
        <f t="shared" si="84"/>
        <v>0.79972489683631365</v>
      </c>
      <c r="GQ66" s="107">
        <v>2209</v>
      </c>
      <c r="GR66" s="108">
        <f t="shared" si="85"/>
        <v>0.75988992088063301</v>
      </c>
      <c r="GS66" s="107">
        <v>693</v>
      </c>
      <c r="GT66" s="108">
        <f t="shared" si="86"/>
        <v>0.23839009287925697</v>
      </c>
    </row>
    <row r="67" spans="1:202" x14ac:dyDescent="0.25">
      <c r="A67" s="104" t="s">
        <v>238</v>
      </c>
      <c r="B67" s="143">
        <v>31049</v>
      </c>
      <c r="C67" s="143">
        <v>9129</v>
      </c>
      <c r="D67" s="143">
        <v>6598</v>
      </c>
      <c r="E67" s="143">
        <v>2579</v>
      </c>
      <c r="F67" s="143">
        <v>639</v>
      </c>
      <c r="G67" s="144">
        <f t="shared" si="2"/>
        <v>0.29401913105091954</v>
      </c>
      <c r="H67" s="144">
        <f t="shared" si="3"/>
        <v>0.21250281812618763</v>
      </c>
      <c r="I67" s="144">
        <f t="shared" si="4"/>
        <v>8.30622564333795E-2</v>
      </c>
      <c r="J67" s="144">
        <f t="shared" si="5"/>
        <v>2.0580372958871461E-2</v>
      </c>
      <c r="K67" s="143">
        <v>3261</v>
      </c>
      <c r="L67" s="145">
        <f t="shared" si="6"/>
        <v>0.49424067899363444</v>
      </c>
      <c r="M67" s="143">
        <v>3337</v>
      </c>
      <c r="N67" s="145">
        <f t="shared" si="7"/>
        <v>0.50575932100636556</v>
      </c>
      <c r="O67" s="148">
        <v>41.9</v>
      </c>
      <c r="P67" s="107">
        <v>12424</v>
      </c>
      <c r="Q67" s="107">
        <v>6058</v>
      </c>
      <c r="R67" s="108">
        <f t="shared" si="8"/>
        <v>0.48760463618802319</v>
      </c>
      <c r="S67" s="107">
        <v>4562</v>
      </c>
      <c r="T67" s="149">
        <f t="shared" si="9"/>
        <v>0.36719253058596263</v>
      </c>
      <c r="U67" s="143">
        <v>3261</v>
      </c>
      <c r="V67" s="107">
        <v>235</v>
      </c>
      <c r="W67" s="108">
        <f t="shared" si="10"/>
        <v>7.2063784115302051E-2</v>
      </c>
      <c r="X67" s="107">
        <v>2116</v>
      </c>
      <c r="Y67" s="150">
        <f t="shared" si="11"/>
        <v>0.64888071143820913</v>
      </c>
      <c r="Z67" s="107">
        <v>131</v>
      </c>
      <c r="AA67" s="108">
        <f t="shared" si="12"/>
        <v>4.0171726464274762E-2</v>
      </c>
      <c r="AB67" s="107">
        <v>287</v>
      </c>
      <c r="AC67" s="108">
        <f t="shared" si="13"/>
        <v>8.8009812940815696E-2</v>
      </c>
      <c r="AD67" s="107">
        <v>492</v>
      </c>
      <c r="AE67" s="108">
        <f t="shared" si="14"/>
        <v>0.15087396504139836</v>
      </c>
      <c r="AF67" s="107">
        <v>3337</v>
      </c>
      <c r="AG67" s="107">
        <v>87</v>
      </c>
      <c r="AH67" s="108">
        <f t="shared" si="15"/>
        <v>2.607132154629907E-2</v>
      </c>
      <c r="AI67" s="107">
        <v>1910</v>
      </c>
      <c r="AJ67" s="108">
        <f t="shared" si="16"/>
        <v>0.57237039256817501</v>
      </c>
      <c r="AK67" s="107">
        <v>49</v>
      </c>
      <c r="AL67" s="108">
        <f t="shared" si="17"/>
        <v>1.4683847767455798E-2</v>
      </c>
      <c r="AM67" s="107">
        <v>931</v>
      </c>
      <c r="AN67" s="108">
        <f t="shared" si="18"/>
        <v>0.27899310758166018</v>
      </c>
      <c r="AO67" s="107">
        <v>360</v>
      </c>
      <c r="AP67" s="108">
        <f t="shared" si="19"/>
        <v>0.10788133053640996</v>
      </c>
      <c r="AQ67" s="107">
        <f t="shared" si="20"/>
        <v>6598</v>
      </c>
      <c r="AR67" s="107">
        <f t="shared" si="21"/>
        <v>322</v>
      </c>
      <c r="AS67" s="108">
        <f t="shared" si="22"/>
        <v>4.8802667474992421E-2</v>
      </c>
      <c r="AT67" s="107">
        <f t="shared" si="23"/>
        <v>4026</v>
      </c>
      <c r="AU67" s="108">
        <f t="shared" si="24"/>
        <v>0.61018490451652019</v>
      </c>
      <c r="AV67" s="107">
        <f t="shared" si="25"/>
        <v>180</v>
      </c>
      <c r="AW67" s="108">
        <f t="shared" si="26"/>
        <v>2.7280994240678993E-2</v>
      </c>
      <c r="AX67" s="107">
        <f t="shared" si="27"/>
        <v>1218</v>
      </c>
      <c r="AY67" s="108">
        <f t="shared" si="28"/>
        <v>0.18460139436192785</v>
      </c>
      <c r="AZ67" s="107">
        <f t="shared" si="29"/>
        <v>852</v>
      </c>
      <c r="BA67" s="108">
        <f t="shared" si="30"/>
        <v>0.12913003940588058</v>
      </c>
      <c r="BB67" s="111">
        <v>3212</v>
      </c>
      <c r="BC67" s="111">
        <v>776</v>
      </c>
      <c r="BD67" s="152">
        <f t="shared" si="31"/>
        <v>0.24159402241594022</v>
      </c>
      <c r="BE67" s="111">
        <v>3229</v>
      </c>
      <c r="BF67" s="111">
        <v>752</v>
      </c>
      <c r="BG67" s="152">
        <f t="shared" si="0"/>
        <v>0.23288943945493962</v>
      </c>
      <c r="BH67" s="153">
        <f t="shared" si="32"/>
        <v>6441</v>
      </c>
      <c r="BI67" s="153">
        <f t="shared" si="33"/>
        <v>1528</v>
      </c>
      <c r="BJ67" s="154">
        <f t="shared" si="34"/>
        <v>0.23723024375097035</v>
      </c>
      <c r="BK67" s="107">
        <v>6598</v>
      </c>
      <c r="BL67" s="107">
        <v>1817</v>
      </c>
      <c r="BM67" s="108">
        <f t="shared" si="87"/>
        <v>0.27538648075174293</v>
      </c>
      <c r="BN67" s="107">
        <v>3261</v>
      </c>
      <c r="BO67" s="107">
        <v>781</v>
      </c>
      <c r="BP67" s="108">
        <f t="shared" si="35"/>
        <v>0.23949708678319534</v>
      </c>
      <c r="BQ67" s="107">
        <v>3337</v>
      </c>
      <c r="BR67" s="107">
        <v>1036</v>
      </c>
      <c r="BS67" s="108">
        <f t="shared" si="36"/>
        <v>0.31045849565477973</v>
      </c>
      <c r="BT67" s="113">
        <v>31351</v>
      </c>
      <c r="BU67" s="113">
        <v>6957</v>
      </c>
      <c r="BV67" s="156">
        <f t="shared" si="37"/>
        <v>0.22190679723134829</v>
      </c>
      <c r="BW67" s="156">
        <f t="shared" si="38"/>
        <v>1</v>
      </c>
      <c r="BX67" s="113">
        <v>29977</v>
      </c>
      <c r="BY67" s="113">
        <v>6824</v>
      </c>
      <c r="BZ67" s="156">
        <f t="shared" si="39"/>
        <v>0.22764119158021148</v>
      </c>
      <c r="CA67" s="156">
        <f t="shared" si="40"/>
        <v>0.9808825643237028</v>
      </c>
      <c r="CB67" s="113">
        <v>139</v>
      </c>
      <c r="CC67" s="113">
        <v>23</v>
      </c>
      <c r="CD67" s="156">
        <f t="shared" si="41"/>
        <v>0.16546762589928057</v>
      </c>
      <c r="CE67" s="156">
        <f t="shared" si="88"/>
        <v>3.3060227109386231E-3</v>
      </c>
      <c r="CF67" s="113">
        <v>90</v>
      </c>
      <c r="CG67" s="113">
        <v>17</v>
      </c>
      <c r="CH67" s="156">
        <f t="shared" si="42"/>
        <v>0.18888888888888888</v>
      </c>
      <c r="CI67" s="156">
        <f t="shared" si="43"/>
        <v>2.4435820037372429E-3</v>
      </c>
      <c r="CJ67" s="113">
        <v>169</v>
      </c>
      <c r="CK67" s="113">
        <v>15</v>
      </c>
      <c r="CL67" s="161">
        <f t="shared" si="44"/>
        <v>8.8757396449704137E-2</v>
      </c>
      <c r="CM67" s="156">
        <f t="shared" si="45"/>
        <v>2.1561017680034496E-3</v>
      </c>
      <c r="CN67" s="113">
        <v>11</v>
      </c>
      <c r="CO67" s="113">
        <v>6</v>
      </c>
      <c r="CP67" s="161">
        <f t="shared" si="46"/>
        <v>0.54545454545454541</v>
      </c>
      <c r="CQ67" s="156">
        <f t="shared" si="47"/>
        <v>8.6244070720137994E-4</v>
      </c>
      <c r="CR67" s="105">
        <v>188</v>
      </c>
      <c r="CS67" s="105">
        <v>5</v>
      </c>
      <c r="CT67" s="106">
        <f t="shared" si="48"/>
        <v>2.6595744680851064E-2</v>
      </c>
      <c r="CU67" s="106">
        <f t="shared" si="49"/>
        <v>7.187005893344833E-4</v>
      </c>
      <c r="CV67" s="113">
        <v>337</v>
      </c>
      <c r="CW67" s="113">
        <v>19</v>
      </c>
      <c r="CX67" s="156">
        <f t="shared" si="50"/>
        <v>5.637982195845697E-2</v>
      </c>
      <c r="CY67" s="156">
        <f t="shared" si="51"/>
        <v>2.7310622394710366E-3</v>
      </c>
      <c r="CZ67" s="113">
        <v>628</v>
      </c>
      <c r="DA67" s="113">
        <v>53</v>
      </c>
      <c r="DB67" s="156">
        <f t="shared" si="52"/>
        <v>8.4394904458598721E-2</v>
      </c>
      <c r="DC67" s="156">
        <f t="shared" si="89"/>
        <v>7.6182262469455227E-3</v>
      </c>
      <c r="DD67" s="107">
        <v>3261</v>
      </c>
      <c r="DE67" s="107">
        <v>336</v>
      </c>
      <c r="DF67" s="107">
        <v>1259</v>
      </c>
      <c r="DG67" s="107">
        <v>952</v>
      </c>
      <c r="DH67" s="107">
        <v>714</v>
      </c>
      <c r="DI67" s="149">
        <f t="shared" si="53"/>
        <v>0.10303587856485741</v>
      </c>
      <c r="DJ67" s="149">
        <f t="shared" si="54"/>
        <v>0.38607789021772465</v>
      </c>
      <c r="DK67" s="149">
        <f t="shared" si="55"/>
        <v>0.51088623121741794</v>
      </c>
      <c r="DL67" s="107">
        <v>3337</v>
      </c>
      <c r="DM67" s="107">
        <v>218</v>
      </c>
      <c r="DN67" s="107">
        <v>1281</v>
      </c>
      <c r="DO67" s="107">
        <v>942</v>
      </c>
      <c r="DP67" s="107">
        <v>896</v>
      </c>
      <c r="DQ67" s="149">
        <f t="shared" si="56"/>
        <v>6.5328139047048248E-2</v>
      </c>
      <c r="DR67" s="149">
        <f t="shared" si="57"/>
        <v>0.38387773449205875</v>
      </c>
      <c r="DS67" s="149">
        <f t="shared" si="58"/>
        <v>0.55079412646089299</v>
      </c>
      <c r="DT67" s="107">
        <f t="shared" si="59"/>
        <v>6598</v>
      </c>
      <c r="DU67" s="107">
        <f t="shared" si="60"/>
        <v>554</v>
      </c>
      <c r="DV67" s="107">
        <f t="shared" si="61"/>
        <v>2540</v>
      </c>
      <c r="DW67" s="107">
        <f t="shared" si="62"/>
        <v>1894</v>
      </c>
      <c r="DX67" s="107">
        <f t="shared" si="63"/>
        <v>1610</v>
      </c>
      <c r="DY67" s="108">
        <f t="shared" si="64"/>
        <v>8.3964837829645353E-2</v>
      </c>
      <c r="DZ67" s="108">
        <f t="shared" si="65"/>
        <v>0.38496514095180356</v>
      </c>
      <c r="EA67" s="108">
        <f t="shared" si="66"/>
        <v>0.53107002121855107</v>
      </c>
      <c r="EB67" s="107">
        <v>4153</v>
      </c>
      <c r="EC67" s="110">
        <v>483</v>
      </c>
      <c r="ED67" s="108">
        <f t="shared" si="67"/>
        <v>0.11630146881772213</v>
      </c>
      <c r="EE67" s="107">
        <v>964</v>
      </c>
      <c r="EF67" s="108">
        <f t="shared" si="67"/>
        <v>0.2321213580544185</v>
      </c>
      <c r="EG67" s="107">
        <v>1494</v>
      </c>
      <c r="EH67" s="108">
        <f t="shared" ref="EH67" si="517">EG67/$EB67</f>
        <v>0.35973994702624607</v>
      </c>
      <c r="EI67" s="107">
        <v>2034</v>
      </c>
      <c r="EJ67" s="108">
        <f t="shared" ref="EJ67" si="518">EI67/$EB67</f>
        <v>0.48976643390320251</v>
      </c>
      <c r="EK67" s="107">
        <v>2872</v>
      </c>
      <c r="EL67" s="108">
        <f t="shared" ref="EL67" si="519">EK67/$EB67</f>
        <v>0.69154827835299781</v>
      </c>
      <c r="EM67" s="107">
        <v>3346</v>
      </c>
      <c r="EN67" s="108">
        <f t="shared" ref="EN67" si="520">EM67/$EB67</f>
        <v>0.80568263905610404</v>
      </c>
      <c r="EO67" s="163">
        <v>71893</v>
      </c>
      <c r="EP67" s="163">
        <v>52466</v>
      </c>
      <c r="EQ67" s="163">
        <v>83989</v>
      </c>
      <c r="ER67" s="163">
        <v>88427</v>
      </c>
      <c r="ES67" s="163">
        <v>51250</v>
      </c>
      <c r="ET67" s="107">
        <v>3212</v>
      </c>
      <c r="EU67" s="107">
        <v>448</v>
      </c>
      <c r="EV67" s="108">
        <f t="shared" si="72"/>
        <v>0.13947696139476962</v>
      </c>
      <c r="EW67" s="107">
        <v>3229</v>
      </c>
      <c r="EX67" s="107">
        <v>425</v>
      </c>
      <c r="EY67" s="108">
        <f t="shared" si="73"/>
        <v>0.13161969650046454</v>
      </c>
      <c r="EZ67" s="107">
        <f t="shared" si="74"/>
        <v>6441</v>
      </c>
      <c r="FA67" s="107">
        <f t="shared" si="75"/>
        <v>873</v>
      </c>
      <c r="FB67" s="108">
        <f t="shared" si="76"/>
        <v>0.13553795994410806</v>
      </c>
      <c r="FC67" s="107">
        <v>6441</v>
      </c>
      <c r="FD67" s="107">
        <v>873</v>
      </c>
      <c r="FE67" s="108">
        <f t="shared" si="77"/>
        <v>0.13553795994410806</v>
      </c>
      <c r="FF67" s="107">
        <v>1341</v>
      </c>
      <c r="FG67" s="108">
        <f t="shared" si="77"/>
        <v>0.20819748486259898</v>
      </c>
      <c r="FH67" s="107">
        <v>1776</v>
      </c>
      <c r="FI67" s="108">
        <f t="shared" ref="FI67" si="521">FH67/$FC67</f>
        <v>0.27573358174196555</v>
      </c>
      <c r="FJ67" s="107">
        <v>2003</v>
      </c>
      <c r="FK67" s="108">
        <f t="shared" ref="FK67" si="522">FJ67/$FC67</f>
        <v>0.31097655643533612</v>
      </c>
      <c r="FL67" s="107">
        <v>3237</v>
      </c>
      <c r="FM67" s="108">
        <f t="shared" ref="FM67" si="523">FL67/$FC67</f>
        <v>0.50256171401956218</v>
      </c>
      <c r="FN67" s="107">
        <v>604</v>
      </c>
      <c r="FO67" s="108">
        <v>0.291928467858869</v>
      </c>
      <c r="FP67" s="107">
        <v>8</v>
      </c>
      <c r="FQ67" s="108">
        <v>3.8666022232962784E-3</v>
      </c>
      <c r="FR67" s="107">
        <v>129</v>
      </c>
      <c r="FS67" s="108">
        <v>0.10822147651006711</v>
      </c>
      <c r="FT67" s="110">
        <v>1</v>
      </c>
      <c r="FU67" s="108">
        <v>8.3892617449664428E-4</v>
      </c>
      <c r="FV67" s="107">
        <v>478</v>
      </c>
      <c r="FW67" s="108">
        <v>0.24512820512820513</v>
      </c>
      <c r="FX67" s="107">
        <v>21</v>
      </c>
      <c r="FY67" s="108">
        <v>1.0769230769230769E-2</v>
      </c>
      <c r="FZ67" s="107">
        <v>76</v>
      </c>
      <c r="GA67" s="108">
        <v>5.4794520547945202E-2</v>
      </c>
      <c r="GB67" s="107">
        <v>2</v>
      </c>
      <c r="GC67" s="108">
        <v>1.4419610670511895E-3</v>
      </c>
      <c r="GD67" s="107">
        <v>1287</v>
      </c>
      <c r="GE67" s="117">
        <v>0.19505910882085481</v>
      </c>
      <c r="GF67" s="107">
        <v>32</v>
      </c>
      <c r="GG67" s="117">
        <v>4.8499545316762656E-3</v>
      </c>
      <c r="GH67" s="107">
        <v>4153</v>
      </c>
      <c r="GI67" s="107">
        <v>708</v>
      </c>
      <c r="GJ67" s="108">
        <f t="shared" si="81"/>
        <v>0.17047917168312063</v>
      </c>
      <c r="GK67" s="107">
        <v>298</v>
      </c>
      <c r="GL67" s="108">
        <f t="shared" si="82"/>
        <v>0.42090395480225989</v>
      </c>
      <c r="GM67" s="107">
        <v>264</v>
      </c>
      <c r="GN67" s="108">
        <f t="shared" si="83"/>
        <v>0.3728813559322034</v>
      </c>
      <c r="GO67" s="107">
        <v>3445</v>
      </c>
      <c r="GP67" s="108">
        <f t="shared" si="84"/>
        <v>0.82952082831687934</v>
      </c>
      <c r="GQ67" s="107">
        <v>2535</v>
      </c>
      <c r="GR67" s="108">
        <f t="shared" si="85"/>
        <v>0.73584905660377353</v>
      </c>
      <c r="GS67" s="107">
        <v>880</v>
      </c>
      <c r="GT67" s="108">
        <f t="shared" si="86"/>
        <v>0.25544267053701014</v>
      </c>
    </row>
    <row r="68" spans="1:202" x14ac:dyDescent="0.25">
      <c r="A68" s="104" t="s">
        <v>239</v>
      </c>
      <c r="B68" s="143">
        <v>23647</v>
      </c>
      <c r="C68" s="143">
        <v>10014</v>
      </c>
      <c r="D68" s="143">
        <v>7513</v>
      </c>
      <c r="E68" s="143">
        <v>2900</v>
      </c>
      <c r="F68" s="143">
        <v>696</v>
      </c>
      <c r="G68" s="144">
        <f t="shared" si="2"/>
        <v>0.42347866536981438</v>
      </c>
      <c r="H68" s="144">
        <f t="shared" si="3"/>
        <v>0.3177147206833848</v>
      </c>
      <c r="I68" s="144">
        <f t="shared" si="4"/>
        <v>0.12263712098786315</v>
      </c>
      <c r="J68" s="144">
        <f t="shared" si="5"/>
        <v>2.9432909037087156E-2</v>
      </c>
      <c r="K68" s="143">
        <v>3820</v>
      </c>
      <c r="L68" s="145">
        <f t="shared" si="6"/>
        <v>0.50845201650472516</v>
      </c>
      <c r="M68" s="143">
        <v>3693</v>
      </c>
      <c r="N68" s="145">
        <f t="shared" si="7"/>
        <v>0.49154798349527484</v>
      </c>
      <c r="O68" s="148">
        <v>55.7</v>
      </c>
      <c r="P68" s="107">
        <v>11147</v>
      </c>
      <c r="Q68" s="107">
        <v>6668</v>
      </c>
      <c r="R68" s="108">
        <f t="shared" si="8"/>
        <v>0.59818785323405399</v>
      </c>
      <c r="S68" s="107">
        <v>5276</v>
      </c>
      <c r="T68" s="149">
        <f t="shared" si="9"/>
        <v>0.47331120480846867</v>
      </c>
      <c r="U68" s="143">
        <v>3820</v>
      </c>
      <c r="V68" s="107">
        <v>139</v>
      </c>
      <c r="W68" s="108">
        <f t="shared" si="10"/>
        <v>3.638743455497382E-2</v>
      </c>
      <c r="X68" s="107">
        <v>2532</v>
      </c>
      <c r="Y68" s="150">
        <f t="shared" si="11"/>
        <v>0.6628272251308901</v>
      </c>
      <c r="Z68" s="107">
        <v>132</v>
      </c>
      <c r="AA68" s="108">
        <f t="shared" si="12"/>
        <v>3.4554973821989528E-2</v>
      </c>
      <c r="AB68" s="107">
        <v>453</v>
      </c>
      <c r="AC68" s="108">
        <f t="shared" si="13"/>
        <v>0.11858638743455498</v>
      </c>
      <c r="AD68" s="107">
        <v>564</v>
      </c>
      <c r="AE68" s="108">
        <f t="shared" si="14"/>
        <v>0.14764397905759163</v>
      </c>
      <c r="AF68" s="107">
        <v>3693</v>
      </c>
      <c r="AG68" s="107">
        <v>99</v>
      </c>
      <c r="AH68" s="108">
        <f t="shared" si="15"/>
        <v>2.6807473598700244E-2</v>
      </c>
      <c r="AI68" s="107">
        <v>2315</v>
      </c>
      <c r="AJ68" s="108">
        <f t="shared" si="16"/>
        <v>0.62686163011102081</v>
      </c>
      <c r="AK68" s="107">
        <v>31</v>
      </c>
      <c r="AL68" s="108">
        <f t="shared" si="17"/>
        <v>8.394259409694016E-3</v>
      </c>
      <c r="AM68" s="107">
        <v>867</v>
      </c>
      <c r="AN68" s="108">
        <f t="shared" si="18"/>
        <v>0.23476848090982941</v>
      </c>
      <c r="AO68" s="107">
        <v>381</v>
      </c>
      <c r="AP68" s="108">
        <f t="shared" si="19"/>
        <v>0.10316815597075549</v>
      </c>
      <c r="AQ68" s="107">
        <f t="shared" si="20"/>
        <v>7513</v>
      </c>
      <c r="AR68" s="107">
        <f t="shared" si="21"/>
        <v>238</v>
      </c>
      <c r="AS68" s="108">
        <f t="shared" si="22"/>
        <v>3.167842406495408E-2</v>
      </c>
      <c r="AT68" s="107">
        <f t="shared" si="23"/>
        <v>4847</v>
      </c>
      <c r="AU68" s="108">
        <f t="shared" si="24"/>
        <v>0.64514840942366569</v>
      </c>
      <c r="AV68" s="107">
        <f t="shared" si="25"/>
        <v>163</v>
      </c>
      <c r="AW68" s="108">
        <f t="shared" si="26"/>
        <v>2.1695727405829895E-2</v>
      </c>
      <c r="AX68" s="107">
        <f t="shared" si="27"/>
        <v>1320</v>
      </c>
      <c r="AY68" s="108">
        <f t="shared" si="28"/>
        <v>0.17569546120058566</v>
      </c>
      <c r="AZ68" s="107">
        <f t="shared" si="29"/>
        <v>945</v>
      </c>
      <c r="BA68" s="108">
        <f t="shared" si="30"/>
        <v>0.12578197790496473</v>
      </c>
      <c r="BB68" s="111">
        <v>3799</v>
      </c>
      <c r="BC68" s="111">
        <v>1090</v>
      </c>
      <c r="BD68" s="152">
        <f t="shared" si="31"/>
        <v>0.28691760989734139</v>
      </c>
      <c r="BE68" s="111">
        <v>3628</v>
      </c>
      <c r="BF68" s="111">
        <v>846</v>
      </c>
      <c r="BG68" s="152">
        <f t="shared" ref="BG68:BG76" si="524">BF68/BE68</f>
        <v>0.23318632855567806</v>
      </c>
      <c r="BH68" s="153">
        <f t="shared" si="32"/>
        <v>7427</v>
      </c>
      <c r="BI68" s="153">
        <f t="shared" si="33"/>
        <v>1936</v>
      </c>
      <c r="BJ68" s="154">
        <f t="shared" si="34"/>
        <v>0.26067052645751987</v>
      </c>
      <c r="BK68" s="107">
        <v>7513</v>
      </c>
      <c r="BL68" s="107">
        <v>1905</v>
      </c>
      <c r="BM68" s="108">
        <f t="shared" si="87"/>
        <v>0.25356049514175427</v>
      </c>
      <c r="BN68" s="107">
        <v>3820</v>
      </c>
      <c r="BO68" s="107">
        <v>964</v>
      </c>
      <c r="BP68" s="108">
        <f t="shared" si="35"/>
        <v>0.25235602094240839</v>
      </c>
      <c r="BQ68" s="107">
        <v>3693</v>
      </c>
      <c r="BR68" s="107">
        <v>941</v>
      </c>
      <c r="BS68" s="108">
        <f t="shared" si="36"/>
        <v>0.25480639046845383</v>
      </c>
      <c r="BT68" s="113">
        <v>23948</v>
      </c>
      <c r="BU68" s="113">
        <v>8015</v>
      </c>
      <c r="BV68" s="156">
        <f t="shared" si="37"/>
        <v>0.33468348087522964</v>
      </c>
      <c r="BW68" s="156">
        <f t="shared" si="38"/>
        <v>1</v>
      </c>
      <c r="BX68" s="113">
        <v>20629</v>
      </c>
      <c r="BY68" s="113">
        <v>7634</v>
      </c>
      <c r="BZ68" s="156">
        <f t="shared" si="39"/>
        <v>0.37006156381792621</v>
      </c>
      <c r="CA68" s="156">
        <f t="shared" si="40"/>
        <v>0.95246412975670613</v>
      </c>
      <c r="CB68" s="113">
        <v>100</v>
      </c>
      <c r="CC68" s="113">
        <v>12</v>
      </c>
      <c r="CD68" s="156">
        <f t="shared" si="41"/>
        <v>0.12</v>
      </c>
      <c r="CE68" s="156">
        <f t="shared" si="88"/>
        <v>1.4971927635683093E-3</v>
      </c>
      <c r="CF68" s="113">
        <v>2163</v>
      </c>
      <c r="CG68" s="113">
        <v>257</v>
      </c>
      <c r="CH68" s="156">
        <f t="shared" si="42"/>
        <v>0.11881645862228386</v>
      </c>
      <c r="CI68" s="156">
        <f t="shared" si="43"/>
        <v>3.206487835308796E-2</v>
      </c>
      <c r="CJ68" s="113">
        <v>128</v>
      </c>
      <c r="CK68" s="113">
        <v>30</v>
      </c>
      <c r="CL68" s="161">
        <f t="shared" si="44"/>
        <v>0.234375</v>
      </c>
      <c r="CM68" s="156">
        <f t="shared" si="45"/>
        <v>3.7429819089207735E-3</v>
      </c>
      <c r="CN68" s="113">
        <v>2</v>
      </c>
      <c r="CO68" s="113">
        <v>0</v>
      </c>
      <c r="CP68" s="161">
        <f t="shared" si="46"/>
        <v>0</v>
      </c>
      <c r="CQ68" s="156">
        <f t="shared" si="47"/>
        <v>0</v>
      </c>
      <c r="CR68" s="105">
        <v>52</v>
      </c>
      <c r="CS68" s="105">
        <v>5</v>
      </c>
      <c r="CT68" s="106">
        <f t="shared" si="48"/>
        <v>9.6153846153846159E-2</v>
      </c>
      <c r="CU68" s="106">
        <f t="shared" si="49"/>
        <v>6.2383031815346226E-4</v>
      </c>
      <c r="CV68" s="113">
        <v>355</v>
      </c>
      <c r="CW68" s="113">
        <v>45</v>
      </c>
      <c r="CX68" s="156">
        <f t="shared" si="50"/>
        <v>0.12676056338028169</v>
      </c>
      <c r="CY68" s="156">
        <f t="shared" si="51"/>
        <v>5.6144728633811605E-3</v>
      </c>
      <c r="CZ68" s="113">
        <v>571</v>
      </c>
      <c r="DA68" s="113">
        <v>37</v>
      </c>
      <c r="DB68" s="156">
        <f t="shared" si="52"/>
        <v>6.4798598949211902E-2</v>
      </c>
      <c r="DC68" s="156">
        <f t="shared" si="89"/>
        <v>4.6163443543356204E-3</v>
      </c>
      <c r="DD68" s="107">
        <v>3820</v>
      </c>
      <c r="DE68" s="107">
        <v>158</v>
      </c>
      <c r="DF68" s="107">
        <v>1150</v>
      </c>
      <c r="DG68" s="107">
        <v>1184</v>
      </c>
      <c r="DH68" s="107">
        <v>1328</v>
      </c>
      <c r="DI68" s="149">
        <f t="shared" si="53"/>
        <v>4.1361256544502616E-2</v>
      </c>
      <c r="DJ68" s="149">
        <f t="shared" si="54"/>
        <v>0.30104712041884818</v>
      </c>
      <c r="DK68" s="149">
        <f t="shared" si="55"/>
        <v>0.6575916230366492</v>
      </c>
      <c r="DL68" s="107">
        <v>3693</v>
      </c>
      <c r="DM68" s="107">
        <v>78</v>
      </c>
      <c r="DN68" s="107">
        <v>1227</v>
      </c>
      <c r="DO68" s="107">
        <v>1357</v>
      </c>
      <c r="DP68" s="107">
        <v>1031</v>
      </c>
      <c r="DQ68" s="149">
        <f t="shared" si="56"/>
        <v>2.1121039805036556E-2</v>
      </c>
      <c r="DR68" s="149">
        <f t="shared" si="57"/>
        <v>0.33225020308692121</v>
      </c>
      <c r="DS68" s="149">
        <f t="shared" si="58"/>
        <v>0.64662875710804224</v>
      </c>
      <c r="DT68" s="107">
        <f t="shared" si="59"/>
        <v>7513</v>
      </c>
      <c r="DU68" s="107">
        <f t="shared" si="60"/>
        <v>236</v>
      </c>
      <c r="DV68" s="107">
        <f t="shared" si="61"/>
        <v>2377</v>
      </c>
      <c r="DW68" s="107">
        <f t="shared" si="62"/>
        <v>2541</v>
      </c>
      <c r="DX68" s="107">
        <f t="shared" si="63"/>
        <v>2359</v>
      </c>
      <c r="DY68" s="108">
        <f t="shared" si="64"/>
        <v>3.1412218820710769E-2</v>
      </c>
      <c r="DZ68" s="108">
        <f t="shared" si="65"/>
        <v>0.31638493278317581</v>
      </c>
      <c r="EA68" s="108">
        <f t="shared" si="66"/>
        <v>0.65220284839611342</v>
      </c>
      <c r="EB68" s="107">
        <v>4814</v>
      </c>
      <c r="EC68" s="110">
        <v>333</v>
      </c>
      <c r="ED68" s="108">
        <f t="shared" si="67"/>
        <v>6.9173244702949735E-2</v>
      </c>
      <c r="EE68" s="107">
        <v>757</v>
      </c>
      <c r="EF68" s="108">
        <f t="shared" si="67"/>
        <v>0.15724968840880765</v>
      </c>
      <c r="EG68" s="107">
        <v>1260</v>
      </c>
      <c r="EH68" s="108">
        <f t="shared" ref="EH68" si="525">EG68/$EB68</f>
        <v>0.26173660157872869</v>
      </c>
      <c r="EI68" s="107">
        <v>1984</v>
      </c>
      <c r="EJ68" s="108">
        <f t="shared" ref="EJ68" si="526">EI68/$EB68</f>
        <v>0.41213128375571251</v>
      </c>
      <c r="EK68" s="107">
        <v>3080</v>
      </c>
      <c r="EL68" s="108">
        <f t="shared" ref="EL68" si="527">EK68/$EB68</f>
        <v>0.63980058163689235</v>
      </c>
      <c r="EM68" s="107">
        <v>3841</v>
      </c>
      <c r="EN68" s="108">
        <f t="shared" ref="EN68" si="528">EM68/$EB68</f>
        <v>0.79788117989198171</v>
      </c>
      <c r="EO68" s="163">
        <v>68431</v>
      </c>
      <c r="EP68" s="163">
        <v>52344</v>
      </c>
      <c r="EQ68" s="163">
        <v>81371</v>
      </c>
      <c r="ER68" s="163">
        <v>77176</v>
      </c>
      <c r="ES68" s="163">
        <v>60060</v>
      </c>
      <c r="ET68" s="107">
        <v>3799</v>
      </c>
      <c r="EU68" s="107">
        <v>293</v>
      </c>
      <c r="EV68" s="108">
        <f t="shared" si="72"/>
        <v>7.712555935772572E-2</v>
      </c>
      <c r="EW68" s="107">
        <v>3628</v>
      </c>
      <c r="EX68" s="107">
        <v>237</v>
      </c>
      <c r="EY68" s="108">
        <f t="shared" si="73"/>
        <v>6.5325248070562295E-2</v>
      </c>
      <c r="EZ68" s="107">
        <f t="shared" si="74"/>
        <v>7427</v>
      </c>
      <c r="FA68" s="107">
        <f t="shared" si="75"/>
        <v>530</v>
      </c>
      <c r="FB68" s="108">
        <f t="shared" si="76"/>
        <v>7.1361249495085502E-2</v>
      </c>
      <c r="FC68" s="107">
        <v>7427</v>
      </c>
      <c r="FD68" s="107">
        <v>530</v>
      </c>
      <c r="FE68" s="108">
        <f t="shared" si="77"/>
        <v>7.1361249495085502E-2</v>
      </c>
      <c r="FF68" s="107">
        <v>956</v>
      </c>
      <c r="FG68" s="108">
        <f t="shared" si="77"/>
        <v>0.12871953682509762</v>
      </c>
      <c r="FH68" s="107">
        <v>1541</v>
      </c>
      <c r="FI68" s="108">
        <f t="shared" ref="FI68" si="529">FH68/$FC68</f>
        <v>0.20748619900363538</v>
      </c>
      <c r="FJ68" s="107">
        <v>1687</v>
      </c>
      <c r="FK68" s="108">
        <f t="shared" ref="FK68" si="530">FJ68/$FC68</f>
        <v>0.22714420358152687</v>
      </c>
      <c r="FL68" s="107">
        <v>3090</v>
      </c>
      <c r="FM68" s="108">
        <f t="shared" ref="FM68" si="531">FL68/$FC68</f>
        <v>0.41604954894304563</v>
      </c>
      <c r="FN68" s="107">
        <v>512</v>
      </c>
      <c r="FO68" s="108">
        <v>0.2145850796311819</v>
      </c>
      <c r="FP68" s="107">
        <v>36</v>
      </c>
      <c r="FQ68" s="108">
        <v>1.5088013411567477E-2</v>
      </c>
      <c r="FR68" s="107">
        <v>142</v>
      </c>
      <c r="FS68" s="108">
        <v>9.9023709902370985E-2</v>
      </c>
      <c r="FT68" s="110">
        <v>4</v>
      </c>
      <c r="FU68" s="108">
        <v>2.7894002789400278E-3</v>
      </c>
      <c r="FV68" s="107">
        <v>517</v>
      </c>
      <c r="FW68" s="108">
        <v>0.23215087561742254</v>
      </c>
      <c r="FX68" s="107">
        <v>0</v>
      </c>
      <c r="FY68" s="108">
        <v>0</v>
      </c>
      <c r="FZ68" s="107">
        <v>72</v>
      </c>
      <c r="GA68" s="108">
        <v>4.9113233287858118E-2</v>
      </c>
      <c r="GB68" s="107">
        <v>0</v>
      </c>
      <c r="GC68" s="108">
        <v>0</v>
      </c>
      <c r="GD68" s="107">
        <v>1243</v>
      </c>
      <c r="GE68" s="117">
        <v>0.16544655929721816</v>
      </c>
      <c r="GF68" s="107">
        <v>40</v>
      </c>
      <c r="GG68" s="117">
        <v>5.324104884866232E-3</v>
      </c>
      <c r="GH68" s="107">
        <v>4814</v>
      </c>
      <c r="GI68" s="107">
        <v>529</v>
      </c>
      <c r="GJ68" s="108">
        <f t="shared" si="81"/>
        <v>0.10988782717075198</v>
      </c>
      <c r="GK68" s="107">
        <v>237</v>
      </c>
      <c r="GL68" s="108">
        <f t="shared" si="82"/>
        <v>0.44801512287334594</v>
      </c>
      <c r="GM68" s="107">
        <v>198</v>
      </c>
      <c r="GN68" s="108">
        <f t="shared" si="83"/>
        <v>0.37429111531190928</v>
      </c>
      <c r="GO68" s="107">
        <v>4285</v>
      </c>
      <c r="GP68" s="108">
        <f t="shared" si="84"/>
        <v>0.89011217282924804</v>
      </c>
      <c r="GQ68" s="107">
        <v>3227</v>
      </c>
      <c r="GR68" s="108">
        <f t="shared" si="85"/>
        <v>0.75309218203033834</v>
      </c>
      <c r="GS68" s="107">
        <v>1035</v>
      </c>
      <c r="GT68" s="108">
        <f t="shared" si="86"/>
        <v>0.24154025670945156</v>
      </c>
    </row>
    <row r="69" spans="1:202" x14ac:dyDescent="0.25">
      <c r="A69" s="104" t="s">
        <v>240</v>
      </c>
      <c r="B69" s="143">
        <v>105657</v>
      </c>
      <c r="C69" s="143">
        <v>29164</v>
      </c>
      <c r="D69" s="143">
        <v>21095</v>
      </c>
      <c r="E69" s="143">
        <v>8237</v>
      </c>
      <c r="F69" s="143">
        <v>2304</v>
      </c>
      <c r="G69" s="144">
        <f t="shared" ref="G69:G76" si="532">C69/B69</f>
        <v>0.27602525152143254</v>
      </c>
      <c r="H69" s="144">
        <f t="shared" ref="H69:H76" si="533">D69/B69</f>
        <v>0.19965548898795157</v>
      </c>
      <c r="I69" s="144">
        <f t="shared" ref="I69:I76" si="534">E69/B69</f>
        <v>7.7959813358319849E-2</v>
      </c>
      <c r="J69" s="144">
        <f t="shared" ref="J69:J76" si="535">F69/B69</f>
        <v>2.180641131207587E-2</v>
      </c>
      <c r="K69" s="143">
        <v>10015</v>
      </c>
      <c r="L69" s="145">
        <f t="shared" ref="L69:L76" si="536">K69/D69</f>
        <v>0.47475705143398911</v>
      </c>
      <c r="M69" s="143">
        <v>11080</v>
      </c>
      <c r="N69" s="145">
        <f t="shared" ref="N69:N76" si="537">M69/D69</f>
        <v>0.52524294856601095</v>
      </c>
      <c r="O69" s="148">
        <v>41.4</v>
      </c>
      <c r="P69" s="107">
        <v>43087</v>
      </c>
      <c r="Q69" s="107">
        <v>19985</v>
      </c>
      <c r="R69" s="108">
        <f t="shared" ref="R69:R76" si="538">Q69/P69</f>
        <v>0.46382899714531067</v>
      </c>
      <c r="S69" s="107">
        <v>15043</v>
      </c>
      <c r="T69" s="149">
        <f t="shared" ref="T69:T76" si="539">S69/P69</f>
        <v>0.34913082832408848</v>
      </c>
      <c r="U69" s="143">
        <v>10015</v>
      </c>
      <c r="V69" s="107">
        <v>668</v>
      </c>
      <c r="W69" s="108">
        <f t="shared" ref="W69:W76" si="540">V69/U69</f>
        <v>6.6699950074887673E-2</v>
      </c>
      <c r="X69" s="107">
        <v>7079</v>
      </c>
      <c r="Y69" s="150">
        <f t="shared" ref="Y69:Y76" si="541">X69/U69</f>
        <v>0.70683974038941588</v>
      </c>
      <c r="Z69" s="107">
        <v>346</v>
      </c>
      <c r="AA69" s="108">
        <f t="shared" ref="AA69:AA76" si="542">Z69/U69</f>
        <v>3.4548177733399903E-2</v>
      </c>
      <c r="AB69" s="107">
        <v>760</v>
      </c>
      <c r="AC69" s="108">
        <f t="shared" ref="AC69:AC76" si="543">AB69/U69</f>
        <v>7.5886170743884179E-2</v>
      </c>
      <c r="AD69" s="107">
        <v>1162</v>
      </c>
      <c r="AE69" s="108">
        <f t="shared" ref="AE69:AE76" si="544">AD69/U69</f>
        <v>0.11602596105841238</v>
      </c>
      <c r="AF69" s="107">
        <v>11080</v>
      </c>
      <c r="AG69" s="107">
        <v>427</v>
      </c>
      <c r="AH69" s="108">
        <f t="shared" ref="AH69:AH76" si="545">AG69/AF69</f>
        <v>3.8537906137184115E-2</v>
      </c>
      <c r="AI69" s="107">
        <v>5206</v>
      </c>
      <c r="AJ69" s="108">
        <f t="shared" ref="AJ69:AJ76" si="546">AI69/AF69</f>
        <v>0.46985559566787005</v>
      </c>
      <c r="AK69" s="107">
        <v>208</v>
      </c>
      <c r="AL69" s="108">
        <f t="shared" ref="AL69:AL76" si="547">AK69/AF69</f>
        <v>1.8772563176895306E-2</v>
      </c>
      <c r="AM69" s="107">
        <v>3389</v>
      </c>
      <c r="AN69" s="108">
        <f t="shared" ref="AN69:AN76" si="548">AM69/AF69</f>
        <v>0.3058664259927798</v>
      </c>
      <c r="AO69" s="107">
        <v>1850</v>
      </c>
      <c r="AP69" s="108">
        <f t="shared" ref="AP69:AP76" si="549">AO69/AF69</f>
        <v>0.16696750902527077</v>
      </c>
      <c r="AQ69" s="107">
        <f t="shared" ref="AQ69:AQ76" si="550">SUM(U69,AF69)</f>
        <v>21095</v>
      </c>
      <c r="AR69" s="107">
        <f t="shared" ref="AR69:AR76" si="551">SUM(V69,AG69)</f>
        <v>1095</v>
      </c>
      <c r="AS69" s="108">
        <f t="shared" ref="AS69:AS76" si="552">AR69/AQ69</f>
        <v>5.1908035079402705E-2</v>
      </c>
      <c r="AT69" s="107">
        <f t="shared" ref="AT69:AT76" si="553">SUM(X69,AI69)</f>
        <v>12285</v>
      </c>
      <c r="AU69" s="108">
        <f t="shared" ref="AU69:AU76" si="554">AT69/AQ69</f>
        <v>0.5823654894524769</v>
      </c>
      <c r="AV69" s="107">
        <f t="shared" ref="AV69:AV76" si="555">SUM(Z69,AK69)</f>
        <v>554</v>
      </c>
      <c r="AW69" s="108">
        <f t="shared" ref="AW69:AW76" si="556">AV69/AQ69</f>
        <v>2.6262147428300544E-2</v>
      </c>
      <c r="AX69" s="107">
        <f t="shared" ref="AX69:AX76" si="557">SUM(AB69,AM69)</f>
        <v>4149</v>
      </c>
      <c r="AY69" s="108">
        <f t="shared" ref="AY69:AY76" si="558">AX69/AQ69</f>
        <v>0.1966816781227779</v>
      </c>
      <c r="AZ69" s="107">
        <f t="shared" ref="AZ69:AZ76" si="559">SUM(AD69,AO69)</f>
        <v>3012</v>
      </c>
      <c r="BA69" s="108">
        <f t="shared" ref="BA69:BA76" si="560">AZ69/AQ69</f>
        <v>0.14278264991704195</v>
      </c>
      <c r="BB69" s="111">
        <v>9861</v>
      </c>
      <c r="BC69" s="111">
        <v>2871</v>
      </c>
      <c r="BD69" s="152">
        <f t="shared" ref="BD69:BD76" si="561">BC69/BB69</f>
        <v>0.29114694250076056</v>
      </c>
      <c r="BE69" s="111">
        <v>10681</v>
      </c>
      <c r="BF69" s="111">
        <v>2861</v>
      </c>
      <c r="BG69" s="152">
        <f t="shared" si="524"/>
        <v>0.26785881471772305</v>
      </c>
      <c r="BH69" s="153">
        <f t="shared" ref="BH69:BH76" si="562">SUM(BB69,BE69)</f>
        <v>20542</v>
      </c>
      <c r="BI69" s="153">
        <f t="shared" ref="BI69:BI76" si="563">SUM(BC69,BF69)</f>
        <v>5732</v>
      </c>
      <c r="BJ69" s="154">
        <f t="shared" ref="BJ69:BJ76" si="564">BI69/BH69</f>
        <v>0.27903806834777528</v>
      </c>
      <c r="BK69" s="107">
        <v>21095</v>
      </c>
      <c r="BL69" s="107">
        <v>5887</v>
      </c>
      <c r="BM69" s="108">
        <f t="shared" ref="BM69:BM76" si="565">BL69/BK69</f>
        <v>0.27907086987437779</v>
      </c>
      <c r="BN69" s="107">
        <v>10015</v>
      </c>
      <c r="BO69" s="107">
        <v>1854</v>
      </c>
      <c r="BP69" s="108">
        <f t="shared" ref="BP69:BP76" si="566">BO69/BN69</f>
        <v>0.18512231652521219</v>
      </c>
      <c r="BQ69" s="107">
        <v>11080</v>
      </c>
      <c r="BR69" s="107">
        <v>4033</v>
      </c>
      <c r="BS69" s="108">
        <f t="shared" ref="BS69:BS76" si="567">BR69/BQ69</f>
        <v>0.36398916967509026</v>
      </c>
      <c r="BT69" s="113">
        <v>106029</v>
      </c>
      <c r="BU69" s="113">
        <v>22857</v>
      </c>
      <c r="BV69" s="156">
        <f t="shared" ref="BV69:BV76" si="568">BU69/BT69</f>
        <v>0.2155730979260391</v>
      </c>
      <c r="BW69" s="156">
        <f t="shared" ref="BW69:BW76" si="569">BU69/$BU69</f>
        <v>1</v>
      </c>
      <c r="BX69" s="113">
        <v>88798</v>
      </c>
      <c r="BY69" s="113">
        <v>21687</v>
      </c>
      <c r="BZ69" s="156">
        <f t="shared" ref="BZ69:BZ76" si="570">BY69/BX69</f>
        <v>0.24422847361427058</v>
      </c>
      <c r="CA69" s="156">
        <f t="shared" ref="CA69:CA76" si="571">BY69/$BU69</f>
        <v>0.94881218007612544</v>
      </c>
      <c r="CB69" s="113">
        <v>1125</v>
      </c>
      <c r="CC69" s="113">
        <v>115</v>
      </c>
      <c r="CD69" s="156">
        <f t="shared" ref="CD69:CD76" si="572">CC69/CB69</f>
        <v>0.10222222222222223</v>
      </c>
      <c r="CE69" s="156">
        <f t="shared" si="88"/>
        <v>5.0312814455090345E-3</v>
      </c>
      <c r="CF69" s="113">
        <v>261</v>
      </c>
      <c r="CG69" s="113">
        <v>48</v>
      </c>
      <c r="CH69" s="156">
        <f t="shared" ref="CH69:CH76" si="573">CG69/CF69</f>
        <v>0.18390804597701149</v>
      </c>
      <c r="CI69" s="156">
        <f t="shared" ref="CI69:CI76" si="574">CG69/$BU69</f>
        <v>2.1000131250820319E-3</v>
      </c>
      <c r="CJ69" s="113">
        <v>1131</v>
      </c>
      <c r="CK69" s="113">
        <v>148</v>
      </c>
      <c r="CL69" s="161">
        <f t="shared" ref="CL69:CL76" si="575">CK69/CJ69</f>
        <v>0.13085764809902742</v>
      </c>
      <c r="CM69" s="156">
        <f t="shared" ref="CM69:CM76" si="576">CK69/$BU69</f>
        <v>6.4750404690029316E-3</v>
      </c>
      <c r="CN69" s="113">
        <v>37</v>
      </c>
      <c r="CO69" s="113">
        <v>4</v>
      </c>
      <c r="CP69" s="161">
        <f t="shared" ref="CP69:CP76" si="577">CO69/CN69</f>
        <v>0.10810810810810811</v>
      </c>
      <c r="CQ69" s="156">
        <f t="shared" ref="CQ69:CQ76" si="578">CO69/$BU69</f>
        <v>1.7500109375683597E-4</v>
      </c>
      <c r="CR69" s="105">
        <v>2629</v>
      </c>
      <c r="CS69" s="105">
        <v>72</v>
      </c>
      <c r="CT69" s="106">
        <f t="shared" ref="CT69:CT76" si="579">CS69/CR69</f>
        <v>2.7386839102320273E-2</v>
      </c>
      <c r="CU69" s="106">
        <f t="shared" ref="CU69:CU76" si="580">CS69/$BU69</f>
        <v>3.1500196876230475E-3</v>
      </c>
      <c r="CV69" s="113">
        <v>1291</v>
      </c>
      <c r="CW69" s="113">
        <v>78</v>
      </c>
      <c r="CX69" s="156">
        <f t="shared" ref="CX69:CX76" si="581">CW69/CV69</f>
        <v>6.0418280402788536E-2</v>
      </c>
      <c r="CY69" s="156">
        <f t="shared" ref="CY69:CY76" si="582">CW69/$BU69</f>
        <v>3.4125213282583016E-3</v>
      </c>
      <c r="CZ69" s="113">
        <v>13386</v>
      </c>
      <c r="DA69" s="113">
        <v>777</v>
      </c>
      <c r="DB69" s="156">
        <f t="shared" ref="DB69:DB76" si="583">DA69/CZ69</f>
        <v>5.8045719408337068E-2</v>
      </c>
      <c r="DC69" s="156">
        <f t="shared" ref="DC69:DC76" si="584">DA69/BU69</f>
        <v>3.3993962462265388E-2</v>
      </c>
      <c r="DD69" s="107">
        <v>10015</v>
      </c>
      <c r="DE69" s="107">
        <v>751</v>
      </c>
      <c r="DF69" s="107">
        <v>3199</v>
      </c>
      <c r="DG69" s="107">
        <v>2620</v>
      </c>
      <c r="DH69" s="107">
        <v>3445</v>
      </c>
      <c r="DI69" s="149">
        <f t="shared" ref="DI69:DI76" si="585">DE69/DD69</f>
        <v>7.4987518721917126E-2</v>
      </c>
      <c r="DJ69" s="149">
        <f t="shared" ref="DJ69:DJ76" si="586">DF69/DD69</f>
        <v>0.31942086869695457</v>
      </c>
      <c r="DK69" s="149">
        <f t="shared" ref="DK69:DK76" si="587">SUM(DG69:DH69)/DD69</f>
        <v>0.60559161258112826</v>
      </c>
      <c r="DL69" s="107">
        <v>11080</v>
      </c>
      <c r="DM69" s="107">
        <v>505</v>
      </c>
      <c r="DN69" s="107">
        <v>4263</v>
      </c>
      <c r="DO69" s="107">
        <v>3029</v>
      </c>
      <c r="DP69" s="107">
        <v>3283</v>
      </c>
      <c r="DQ69" s="149">
        <f t="shared" ref="DQ69:DQ76" si="588">DM69/DL69</f>
        <v>4.5577617328519858E-2</v>
      </c>
      <c r="DR69" s="149">
        <f t="shared" ref="DR69:DR76" si="589">DN69/DL69</f>
        <v>0.38474729241877259</v>
      </c>
      <c r="DS69" s="149">
        <f t="shared" ref="DS69:DS76" si="590">SUM(DO69:DP69)/DL69</f>
        <v>0.56967509025270757</v>
      </c>
      <c r="DT69" s="107">
        <f t="shared" ref="DT69:DT76" si="591">SUM(DL69,DD69)</f>
        <v>21095</v>
      </c>
      <c r="DU69" s="107">
        <f t="shared" ref="DU69:DU76" si="592">SUM(DM69,DE69)</f>
        <v>1256</v>
      </c>
      <c r="DV69" s="107">
        <f t="shared" ref="DV69:DV76" si="593">SUM(DN69,DF69)</f>
        <v>7462</v>
      </c>
      <c r="DW69" s="107">
        <f t="shared" ref="DW69:DW76" si="594">SUM(DO69,DG69)</f>
        <v>5649</v>
      </c>
      <c r="DX69" s="107">
        <f t="shared" ref="DX69:DX76" si="595">SUM(DP69,DH69)</f>
        <v>6728</v>
      </c>
      <c r="DY69" s="108">
        <f t="shared" ref="DY69:DY76" si="596">DU69/DT69</f>
        <v>5.9540175397013513E-2</v>
      </c>
      <c r="DZ69" s="108">
        <f t="shared" ref="DZ69:DZ76" si="597">DV69/DT69</f>
        <v>0.35373311211187486</v>
      </c>
      <c r="EA69" s="108">
        <f t="shared" ref="EA69:EA76" si="598">SUM(DW69:DX69)/DT69</f>
        <v>0.58672671249111163</v>
      </c>
      <c r="EB69" s="107">
        <v>13373</v>
      </c>
      <c r="EC69" s="110">
        <v>993</v>
      </c>
      <c r="ED69" s="108">
        <f t="shared" ref="ED69:EF76" si="599">EC69/$EB69</f>
        <v>7.425409407014133E-2</v>
      </c>
      <c r="EE69" s="107">
        <v>1995</v>
      </c>
      <c r="EF69" s="108">
        <f t="shared" si="599"/>
        <v>0.1491811859717341</v>
      </c>
      <c r="EG69" s="107">
        <v>3270</v>
      </c>
      <c r="EH69" s="108">
        <f t="shared" ref="EH69" si="600">EG69/$EB69</f>
        <v>0.24452254542735363</v>
      </c>
      <c r="EI69" s="107">
        <v>5170</v>
      </c>
      <c r="EJ69" s="108">
        <f t="shared" ref="EJ69" si="601">EI69/$EB69</f>
        <v>0.38659986540043373</v>
      </c>
      <c r="EK69" s="107">
        <v>8185</v>
      </c>
      <c r="EL69" s="108">
        <f t="shared" ref="EL69" si="602">EK69/$EB69</f>
        <v>0.61205413893666338</v>
      </c>
      <c r="EM69" s="107">
        <v>10031</v>
      </c>
      <c r="EN69" s="108">
        <f t="shared" ref="EN69" si="603">EM69/$EB69</f>
        <v>0.75009347192103493</v>
      </c>
      <c r="EO69" s="163">
        <v>80520</v>
      </c>
      <c r="EP69" s="163">
        <v>40900</v>
      </c>
      <c r="EQ69" s="163">
        <v>93690</v>
      </c>
      <c r="ER69" s="163">
        <v>105511</v>
      </c>
      <c r="ES69" s="163">
        <v>62405</v>
      </c>
      <c r="ET69" s="107">
        <v>9861</v>
      </c>
      <c r="EU69" s="107">
        <v>655</v>
      </c>
      <c r="EV69" s="108">
        <f t="shared" ref="EV69:EV76" si="604">EU69/ET69</f>
        <v>6.64232836426326E-2</v>
      </c>
      <c r="EW69" s="107">
        <v>10681</v>
      </c>
      <c r="EX69" s="107">
        <v>837</v>
      </c>
      <c r="EY69" s="108">
        <f t="shared" ref="EY69:EY76" si="605">EX69/EW69</f>
        <v>7.836344911525138E-2</v>
      </c>
      <c r="EZ69" s="107">
        <f t="shared" ref="EZ69:EZ76" si="606">SUM(ET69,EW69)</f>
        <v>20542</v>
      </c>
      <c r="FA69" s="107">
        <f t="shared" ref="FA69:FA76" si="607">SUM(EU69,EX69)</f>
        <v>1492</v>
      </c>
      <c r="FB69" s="108">
        <f t="shared" ref="FB69:FB76" si="608">FA69/EZ69</f>
        <v>7.263168143316133E-2</v>
      </c>
      <c r="FC69" s="107">
        <v>20542</v>
      </c>
      <c r="FD69" s="107">
        <v>1492</v>
      </c>
      <c r="FE69" s="108">
        <f t="shared" ref="FE69:FG76" si="609">FD69/$FC69</f>
        <v>7.263168143316133E-2</v>
      </c>
      <c r="FF69" s="107">
        <v>2407</v>
      </c>
      <c r="FG69" s="108">
        <f t="shared" si="609"/>
        <v>0.11717456917534806</v>
      </c>
      <c r="FH69" s="107">
        <v>3776</v>
      </c>
      <c r="FI69" s="108">
        <f t="shared" ref="FI69" si="610">FH69/$FC69</f>
        <v>0.18381851815792036</v>
      </c>
      <c r="FJ69" s="107">
        <v>4386</v>
      </c>
      <c r="FK69" s="108">
        <f t="shared" ref="FK69" si="611">FJ69/$FC69</f>
        <v>0.21351377665271151</v>
      </c>
      <c r="FL69" s="107">
        <v>7836</v>
      </c>
      <c r="FM69" s="108">
        <f t="shared" ref="FM69" si="612">FL69/$FC69</f>
        <v>0.3814623697789894</v>
      </c>
      <c r="FN69" s="107">
        <v>2240</v>
      </c>
      <c r="FO69" s="108">
        <v>0.35476718403547675</v>
      </c>
      <c r="FP69" s="107">
        <v>106</v>
      </c>
      <c r="FQ69" s="108">
        <v>1.6788089958821667E-2</v>
      </c>
      <c r="FR69" s="107">
        <v>397</v>
      </c>
      <c r="FS69" s="108">
        <v>0.10726830586328019</v>
      </c>
      <c r="FT69" s="110">
        <v>2</v>
      </c>
      <c r="FU69" s="108">
        <v>5.4039448797622261E-4</v>
      </c>
      <c r="FV69" s="107">
        <v>1399</v>
      </c>
      <c r="FW69" s="108">
        <v>0.21378361858190709</v>
      </c>
      <c r="FX69" s="107">
        <v>36</v>
      </c>
      <c r="FY69" s="108">
        <v>5.5012224938875308E-3</v>
      </c>
      <c r="FZ69" s="107">
        <v>165</v>
      </c>
      <c r="GA69" s="108">
        <v>3.6375661375661374E-2</v>
      </c>
      <c r="GB69" s="107">
        <v>0</v>
      </c>
      <c r="GC69" s="108">
        <v>0</v>
      </c>
      <c r="GD69" s="107">
        <v>4201</v>
      </c>
      <c r="GE69" s="117">
        <v>0.19914671723157146</v>
      </c>
      <c r="GF69" s="107">
        <v>144</v>
      </c>
      <c r="GG69" s="117">
        <v>6.8262621474283009E-3</v>
      </c>
      <c r="GH69" s="107">
        <v>13373</v>
      </c>
      <c r="GI69" s="107">
        <v>2523</v>
      </c>
      <c r="GJ69" s="108">
        <f t="shared" ref="GJ69:GJ76" si="613">GI69/GH69</f>
        <v>0.18866372541688478</v>
      </c>
      <c r="GK69" s="107">
        <v>967</v>
      </c>
      <c r="GL69" s="108">
        <f t="shared" ref="GL69:GL76" si="614">GK69/GI69</f>
        <v>0.38327388030122872</v>
      </c>
      <c r="GM69" s="107">
        <v>1329</v>
      </c>
      <c r="GN69" s="108">
        <f t="shared" ref="GN69:GN76" si="615">GM69/GI69</f>
        <v>0.52675386444708683</v>
      </c>
      <c r="GO69" s="107">
        <v>10850</v>
      </c>
      <c r="GP69" s="108">
        <f t="shared" ref="GP69:GP76" si="616">GO69/GH69</f>
        <v>0.81133627458311519</v>
      </c>
      <c r="GQ69" s="107">
        <v>8185</v>
      </c>
      <c r="GR69" s="108">
        <f t="shared" ref="GR69:GR76" si="617">GQ69/GO69</f>
        <v>0.75437788018433183</v>
      </c>
      <c r="GS69" s="107">
        <v>2559</v>
      </c>
      <c r="GT69" s="108">
        <f t="shared" ref="GT69:GT76" si="618">GS69/GO69</f>
        <v>0.23585253456221197</v>
      </c>
    </row>
    <row r="70" spans="1:202" x14ac:dyDescent="0.25">
      <c r="A70" s="104" t="s">
        <v>241</v>
      </c>
      <c r="B70" s="143">
        <v>16854</v>
      </c>
      <c r="C70" s="143">
        <v>6400</v>
      </c>
      <c r="D70" s="143">
        <v>4734</v>
      </c>
      <c r="E70" s="143">
        <v>1767</v>
      </c>
      <c r="F70" s="143">
        <v>437</v>
      </c>
      <c r="G70" s="144">
        <f t="shared" si="532"/>
        <v>0.37973181440607573</v>
      </c>
      <c r="H70" s="144">
        <f t="shared" si="533"/>
        <v>0.28088287646849414</v>
      </c>
      <c r="I70" s="144">
        <f t="shared" si="534"/>
        <v>0.10484158063367746</v>
      </c>
      <c r="J70" s="144">
        <f t="shared" si="535"/>
        <v>2.5928562952414858E-2</v>
      </c>
      <c r="K70" s="143">
        <v>2348</v>
      </c>
      <c r="L70" s="145">
        <f t="shared" si="536"/>
        <v>0.4959864807773553</v>
      </c>
      <c r="M70" s="143">
        <v>2386</v>
      </c>
      <c r="N70" s="145">
        <f t="shared" si="537"/>
        <v>0.5040135192226447</v>
      </c>
      <c r="O70" s="148">
        <v>52.7</v>
      </c>
      <c r="P70" s="107">
        <v>7566</v>
      </c>
      <c r="Q70" s="107">
        <v>4186</v>
      </c>
      <c r="R70" s="108">
        <f t="shared" si="538"/>
        <v>0.5532646048109966</v>
      </c>
      <c r="S70" s="107">
        <v>3184</v>
      </c>
      <c r="T70" s="149">
        <f t="shared" si="539"/>
        <v>0.42083002907745176</v>
      </c>
      <c r="U70" s="143">
        <v>2348</v>
      </c>
      <c r="V70" s="107">
        <v>115</v>
      </c>
      <c r="W70" s="108">
        <f t="shared" si="540"/>
        <v>4.8977853492333905E-2</v>
      </c>
      <c r="X70" s="107">
        <v>1661</v>
      </c>
      <c r="Y70" s="150">
        <f t="shared" si="541"/>
        <v>0.70741056218057918</v>
      </c>
      <c r="Z70" s="107">
        <v>54</v>
      </c>
      <c r="AA70" s="108">
        <f t="shared" si="542"/>
        <v>2.2998296422487224E-2</v>
      </c>
      <c r="AB70" s="107">
        <v>188</v>
      </c>
      <c r="AC70" s="108">
        <f t="shared" si="543"/>
        <v>8.006814310051108E-2</v>
      </c>
      <c r="AD70" s="107">
        <v>330</v>
      </c>
      <c r="AE70" s="108">
        <f t="shared" si="544"/>
        <v>0.14054514480408858</v>
      </c>
      <c r="AF70" s="107">
        <v>2386</v>
      </c>
      <c r="AG70" s="107">
        <v>100</v>
      </c>
      <c r="AH70" s="108">
        <f t="shared" si="545"/>
        <v>4.1911148365465216E-2</v>
      </c>
      <c r="AI70" s="107">
        <v>1412</v>
      </c>
      <c r="AJ70" s="108">
        <f t="shared" si="546"/>
        <v>0.59178541492036885</v>
      </c>
      <c r="AK70" s="107">
        <v>38</v>
      </c>
      <c r="AL70" s="108">
        <f t="shared" si="547"/>
        <v>1.5926236378876781E-2</v>
      </c>
      <c r="AM70" s="107">
        <v>604</v>
      </c>
      <c r="AN70" s="108">
        <f t="shared" si="548"/>
        <v>0.25314333612740991</v>
      </c>
      <c r="AO70" s="107">
        <v>232</v>
      </c>
      <c r="AP70" s="108">
        <f t="shared" si="549"/>
        <v>9.72338642078793E-2</v>
      </c>
      <c r="AQ70" s="107">
        <f t="shared" si="550"/>
        <v>4734</v>
      </c>
      <c r="AR70" s="107">
        <f t="shared" si="551"/>
        <v>215</v>
      </c>
      <c r="AS70" s="108">
        <f t="shared" si="552"/>
        <v>4.5416138572032111E-2</v>
      </c>
      <c r="AT70" s="107">
        <f t="shared" si="553"/>
        <v>3073</v>
      </c>
      <c r="AU70" s="108">
        <f t="shared" si="554"/>
        <v>0.64913392479932408</v>
      </c>
      <c r="AV70" s="107">
        <f t="shared" si="555"/>
        <v>92</v>
      </c>
      <c r="AW70" s="108">
        <f t="shared" si="556"/>
        <v>1.9433882551753275E-2</v>
      </c>
      <c r="AX70" s="107">
        <f t="shared" si="557"/>
        <v>792</v>
      </c>
      <c r="AY70" s="108">
        <f t="shared" si="558"/>
        <v>0.16730038022813687</v>
      </c>
      <c r="AZ70" s="107">
        <f t="shared" si="559"/>
        <v>562</v>
      </c>
      <c r="BA70" s="108">
        <f t="shared" si="560"/>
        <v>0.1187156738487537</v>
      </c>
      <c r="BB70" s="111">
        <v>2316</v>
      </c>
      <c r="BC70" s="111">
        <v>699</v>
      </c>
      <c r="BD70" s="152">
        <f t="shared" si="561"/>
        <v>0.30181347150259069</v>
      </c>
      <c r="BE70" s="111">
        <v>2309</v>
      </c>
      <c r="BF70" s="111">
        <v>568</v>
      </c>
      <c r="BG70" s="152">
        <f t="shared" si="524"/>
        <v>0.24599393676916415</v>
      </c>
      <c r="BH70" s="153">
        <f t="shared" si="562"/>
        <v>4625</v>
      </c>
      <c r="BI70" s="153">
        <f t="shared" si="563"/>
        <v>1267</v>
      </c>
      <c r="BJ70" s="154">
        <f t="shared" si="564"/>
        <v>0.27394594594594596</v>
      </c>
      <c r="BK70" s="107">
        <v>4734</v>
      </c>
      <c r="BL70" s="107">
        <v>1139</v>
      </c>
      <c r="BM70" s="108">
        <f t="shared" si="565"/>
        <v>0.24059991550485846</v>
      </c>
      <c r="BN70" s="107">
        <v>2348</v>
      </c>
      <c r="BO70" s="107">
        <v>467</v>
      </c>
      <c r="BP70" s="108">
        <f t="shared" si="566"/>
        <v>0.19889267461669505</v>
      </c>
      <c r="BQ70" s="107">
        <v>2386</v>
      </c>
      <c r="BR70" s="107">
        <v>672</v>
      </c>
      <c r="BS70" s="108">
        <f t="shared" si="567"/>
        <v>0.28164291701592625</v>
      </c>
      <c r="BT70" s="113">
        <v>16982</v>
      </c>
      <c r="BU70" s="113">
        <v>5034</v>
      </c>
      <c r="BV70" s="156">
        <f t="shared" si="568"/>
        <v>0.29643151572252974</v>
      </c>
      <c r="BW70" s="156">
        <f t="shared" si="569"/>
        <v>1</v>
      </c>
      <c r="BX70" s="113">
        <v>15876</v>
      </c>
      <c r="BY70" s="113">
        <v>4871</v>
      </c>
      <c r="BZ70" s="156">
        <f t="shared" si="570"/>
        <v>0.30681531872008061</v>
      </c>
      <c r="CA70" s="156">
        <f t="shared" si="571"/>
        <v>0.9676201827572507</v>
      </c>
      <c r="CB70" s="113">
        <v>67</v>
      </c>
      <c r="CC70" s="113">
        <v>2</v>
      </c>
      <c r="CD70" s="156">
        <f t="shared" si="572"/>
        <v>2.9850746268656716E-2</v>
      </c>
      <c r="CE70" s="156">
        <f t="shared" ref="CE70:CE76" si="619">CC70/$BU70</f>
        <v>3.9729837107667858E-4</v>
      </c>
      <c r="CF70" s="113">
        <v>249</v>
      </c>
      <c r="CG70" s="113">
        <v>56</v>
      </c>
      <c r="CH70" s="156">
        <f t="shared" si="573"/>
        <v>0.22489959839357429</v>
      </c>
      <c r="CI70" s="156">
        <f t="shared" si="574"/>
        <v>1.1124354390147001E-2</v>
      </c>
      <c r="CJ70" s="113">
        <v>120</v>
      </c>
      <c r="CK70" s="113">
        <v>16</v>
      </c>
      <c r="CL70" s="161">
        <f t="shared" si="575"/>
        <v>0.13333333333333333</v>
      </c>
      <c r="CM70" s="156">
        <f t="shared" si="576"/>
        <v>3.1783869686134287E-3</v>
      </c>
      <c r="CN70" s="113">
        <v>3</v>
      </c>
      <c r="CO70" s="113">
        <v>1</v>
      </c>
      <c r="CP70" s="161">
        <f t="shared" si="577"/>
        <v>0.33333333333333331</v>
      </c>
      <c r="CQ70" s="156">
        <f t="shared" si="578"/>
        <v>1.9864918553833929E-4</v>
      </c>
      <c r="CR70" s="105">
        <v>52</v>
      </c>
      <c r="CS70" s="105">
        <v>0</v>
      </c>
      <c r="CT70" s="106">
        <f t="shared" si="579"/>
        <v>0</v>
      </c>
      <c r="CU70" s="106">
        <f t="shared" si="580"/>
        <v>0</v>
      </c>
      <c r="CV70" s="113">
        <v>275</v>
      </c>
      <c r="CW70" s="113">
        <v>54</v>
      </c>
      <c r="CX70" s="156">
        <f t="shared" si="581"/>
        <v>0.19636363636363635</v>
      </c>
      <c r="CY70" s="156">
        <f t="shared" si="582"/>
        <v>1.0727056019070322E-2</v>
      </c>
      <c r="CZ70" s="113">
        <v>392</v>
      </c>
      <c r="DA70" s="113">
        <v>34</v>
      </c>
      <c r="DB70" s="156">
        <f t="shared" si="583"/>
        <v>8.673469387755102E-2</v>
      </c>
      <c r="DC70" s="156">
        <f t="shared" si="584"/>
        <v>6.7540723083035362E-3</v>
      </c>
      <c r="DD70" s="107">
        <v>2348</v>
      </c>
      <c r="DE70" s="107">
        <v>154</v>
      </c>
      <c r="DF70" s="107">
        <v>800</v>
      </c>
      <c r="DG70" s="107">
        <v>707</v>
      </c>
      <c r="DH70" s="107">
        <v>687</v>
      </c>
      <c r="DI70" s="149">
        <f t="shared" si="585"/>
        <v>6.5587734241908002E-2</v>
      </c>
      <c r="DJ70" s="149">
        <f t="shared" si="586"/>
        <v>0.34071550255536626</v>
      </c>
      <c r="DK70" s="149">
        <f t="shared" si="587"/>
        <v>0.59369676320272569</v>
      </c>
      <c r="DL70" s="107">
        <v>2386</v>
      </c>
      <c r="DM70" s="107">
        <v>80</v>
      </c>
      <c r="DN70" s="107">
        <v>905</v>
      </c>
      <c r="DO70" s="107">
        <v>779</v>
      </c>
      <c r="DP70" s="107">
        <v>622</v>
      </c>
      <c r="DQ70" s="149">
        <f t="shared" si="588"/>
        <v>3.3528918692372171E-2</v>
      </c>
      <c r="DR70" s="149">
        <f t="shared" si="589"/>
        <v>0.37929589270746017</v>
      </c>
      <c r="DS70" s="149">
        <f t="shared" si="590"/>
        <v>0.5871751886001676</v>
      </c>
      <c r="DT70" s="107">
        <f t="shared" si="591"/>
        <v>4734</v>
      </c>
      <c r="DU70" s="107">
        <f t="shared" si="592"/>
        <v>234</v>
      </c>
      <c r="DV70" s="107">
        <f t="shared" si="593"/>
        <v>1705</v>
      </c>
      <c r="DW70" s="107">
        <f t="shared" si="594"/>
        <v>1486</v>
      </c>
      <c r="DX70" s="107">
        <f t="shared" si="595"/>
        <v>1309</v>
      </c>
      <c r="DY70" s="108">
        <f t="shared" si="596"/>
        <v>4.9429657794676805E-2</v>
      </c>
      <c r="DZ70" s="108">
        <f t="shared" si="597"/>
        <v>0.3601605407689058</v>
      </c>
      <c r="EA70" s="108">
        <f t="shared" si="598"/>
        <v>0.59040980143641741</v>
      </c>
      <c r="EB70" s="107">
        <v>2921</v>
      </c>
      <c r="EC70" s="110">
        <v>251</v>
      </c>
      <c r="ED70" s="108">
        <f t="shared" si="599"/>
        <v>8.5929476206778502E-2</v>
      </c>
      <c r="EE70" s="107">
        <v>507</v>
      </c>
      <c r="EF70" s="108">
        <f t="shared" si="599"/>
        <v>0.1735706949674769</v>
      </c>
      <c r="EG70" s="107">
        <v>929</v>
      </c>
      <c r="EH70" s="108">
        <f t="shared" ref="EH70" si="620">EG70/$EB70</f>
        <v>0.31804176651831567</v>
      </c>
      <c r="EI70" s="107">
        <v>1356</v>
      </c>
      <c r="EJ70" s="108">
        <f t="shared" ref="EJ70" si="621">EI70/$EB70</f>
        <v>0.46422458062307431</v>
      </c>
      <c r="EK70" s="107">
        <v>1881</v>
      </c>
      <c r="EL70" s="108">
        <f t="shared" ref="EL70" si="622">EK70/$EB70</f>
        <v>0.64395754878466283</v>
      </c>
      <c r="EM70" s="107">
        <v>2265</v>
      </c>
      <c r="EN70" s="108">
        <f t="shared" ref="EN70" si="623">EM70/$EB70</f>
        <v>0.77541937692571039</v>
      </c>
      <c r="EO70" s="163">
        <v>63441</v>
      </c>
      <c r="EP70" s="163">
        <v>53661</v>
      </c>
      <c r="EQ70" s="163">
        <v>77550</v>
      </c>
      <c r="ER70" s="163">
        <v>71132</v>
      </c>
      <c r="ES70" s="163">
        <v>54290</v>
      </c>
      <c r="ET70" s="107">
        <v>2316</v>
      </c>
      <c r="EU70" s="107">
        <v>170</v>
      </c>
      <c r="EV70" s="108">
        <f t="shared" si="604"/>
        <v>7.3402417962003461E-2</v>
      </c>
      <c r="EW70" s="107">
        <v>2309</v>
      </c>
      <c r="EX70" s="107">
        <v>230</v>
      </c>
      <c r="EY70" s="108">
        <f t="shared" si="605"/>
        <v>9.9610220874837591E-2</v>
      </c>
      <c r="EZ70" s="107">
        <f t="shared" si="606"/>
        <v>4625</v>
      </c>
      <c r="FA70" s="107">
        <f t="shared" si="607"/>
        <v>400</v>
      </c>
      <c r="FB70" s="108">
        <f t="shared" si="608"/>
        <v>8.6486486486486491E-2</v>
      </c>
      <c r="FC70" s="107">
        <v>4625</v>
      </c>
      <c r="FD70" s="107">
        <v>400</v>
      </c>
      <c r="FE70" s="108">
        <f t="shared" si="609"/>
        <v>8.6486486486486491E-2</v>
      </c>
      <c r="FF70" s="107">
        <v>738</v>
      </c>
      <c r="FG70" s="108">
        <f t="shared" si="609"/>
        <v>0.15956756756756757</v>
      </c>
      <c r="FH70" s="107">
        <v>1109</v>
      </c>
      <c r="FI70" s="108">
        <f t="shared" ref="FI70" si="624">FH70/$FC70</f>
        <v>0.23978378378378379</v>
      </c>
      <c r="FJ70" s="107">
        <v>1241</v>
      </c>
      <c r="FK70" s="108">
        <f t="shared" ref="FK70" si="625">FJ70/$FC70</f>
        <v>0.26832432432432435</v>
      </c>
      <c r="FL70" s="107">
        <v>2144</v>
      </c>
      <c r="FM70" s="108">
        <f t="shared" ref="FM70" si="626">FL70/$FC70</f>
        <v>0.46356756756756756</v>
      </c>
      <c r="FN70" s="107">
        <v>305</v>
      </c>
      <c r="FO70" s="108">
        <v>0.20238885202388851</v>
      </c>
      <c r="FP70" s="107">
        <v>7</v>
      </c>
      <c r="FQ70" s="108">
        <v>4.6449900464499002E-3</v>
      </c>
      <c r="FR70" s="107">
        <v>61</v>
      </c>
      <c r="FS70" s="108">
        <v>7.2532699167657547E-2</v>
      </c>
      <c r="FT70" s="110">
        <v>0</v>
      </c>
      <c r="FU70" s="108">
        <v>0</v>
      </c>
      <c r="FV70" s="107">
        <v>354</v>
      </c>
      <c r="FW70" s="108">
        <v>0.24246575342465754</v>
      </c>
      <c r="FX70" s="107">
        <v>21</v>
      </c>
      <c r="FY70" s="108">
        <v>1.4383561643835616E-2</v>
      </c>
      <c r="FZ70" s="107">
        <v>36</v>
      </c>
      <c r="GA70" s="108">
        <v>3.8876889848812095E-2</v>
      </c>
      <c r="GB70" s="107">
        <v>0</v>
      </c>
      <c r="GC70" s="108">
        <v>0</v>
      </c>
      <c r="GD70" s="107">
        <v>756</v>
      </c>
      <c r="GE70" s="117">
        <v>0.1596958174904943</v>
      </c>
      <c r="GF70" s="107">
        <v>28</v>
      </c>
      <c r="GG70" s="117">
        <v>5.9146599070553441E-3</v>
      </c>
      <c r="GH70" s="107">
        <v>2921</v>
      </c>
      <c r="GI70" s="107">
        <v>354</v>
      </c>
      <c r="GJ70" s="108">
        <f t="shared" si="613"/>
        <v>0.12119137281752825</v>
      </c>
      <c r="GK70" s="107">
        <v>154</v>
      </c>
      <c r="GL70" s="108">
        <f t="shared" si="614"/>
        <v>0.43502824858757061</v>
      </c>
      <c r="GM70" s="107">
        <v>148</v>
      </c>
      <c r="GN70" s="108">
        <f t="shared" si="615"/>
        <v>0.41807909604519772</v>
      </c>
      <c r="GO70" s="107">
        <v>2567</v>
      </c>
      <c r="GP70" s="108">
        <f t="shared" si="616"/>
        <v>0.87880862718247177</v>
      </c>
      <c r="GQ70" s="107">
        <v>2004</v>
      </c>
      <c r="GR70" s="108">
        <f t="shared" si="617"/>
        <v>0.78067783404752633</v>
      </c>
      <c r="GS70" s="107">
        <v>555</v>
      </c>
      <c r="GT70" s="108">
        <f t="shared" si="618"/>
        <v>0.21620568757304245</v>
      </c>
    </row>
    <row r="71" spans="1:202" x14ac:dyDescent="0.25">
      <c r="A71" s="104" t="s">
        <v>242</v>
      </c>
      <c r="B71" s="143">
        <v>137879</v>
      </c>
      <c r="C71" s="143">
        <v>38265</v>
      </c>
      <c r="D71" s="143">
        <v>27367</v>
      </c>
      <c r="E71" s="143">
        <v>10897</v>
      </c>
      <c r="F71" s="143">
        <v>3176</v>
      </c>
      <c r="G71" s="144">
        <f t="shared" si="532"/>
        <v>0.27752594666337876</v>
      </c>
      <c r="H71" s="144">
        <f t="shared" si="533"/>
        <v>0.19848562870342837</v>
      </c>
      <c r="I71" s="144">
        <f t="shared" si="534"/>
        <v>7.9033065223855697E-2</v>
      </c>
      <c r="J71" s="144">
        <f t="shared" si="535"/>
        <v>2.303468983674091E-2</v>
      </c>
      <c r="K71" s="143">
        <v>12783</v>
      </c>
      <c r="L71" s="145">
        <f t="shared" si="536"/>
        <v>0.46709540687689555</v>
      </c>
      <c r="M71" s="143">
        <v>14584</v>
      </c>
      <c r="N71" s="145">
        <f t="shared" si="537"/>
        <v>0.53290459312310445</v>
      </c>
      <c r="O71" s="148">
        <v>43.8</v>
      </c>
      <c r="P71" s="107">
        <v>57070</v>
      </c>
      <c r="Q71" s="107">
        <v>25674</v>
      </c>
      <c r="R71" s="108">
        <f t="shared" si="538"/>
        <v>0.44986858244261435</v>
      </c>
      <c r="S71" s="107">
        <v>19050</v>
      </c>
      <c r="T71" s="149">
        <f t="shared" si="539"/>
        <v>0.33380059575959348</v>
      </c>
      <c r="U71" s="143">
        <v>12783</v>
      </c>
      <c r="V71" s="107">
        <v>564</v>
      </c>
      <c r="W71" s="108">
        <f t="shared" si="540"/>
        <v>4.4121098333724476E-2</v>
      </c>
      <c r="X71" s="107">
        <v>9733</v>
      </c>
      <c r="Y71" s="150">
        <f t="shared" si="541"/>
        <v>0.76140186184776659</v>
      </c>
      <c r="Z71" s="107">
        <v>318</v>
      </c>
      <c r="AA71" s="108">
        <f t="shared" si="542"/>
        <v>2.4876789486036142E-2</v>
      </c>
      <c r="AB71" s="107">
        <v>1038</v>
      </c>
      <c r="AC71" s="108">
        <f t="shared" si="543"/>
        <v>8.1201595869514198E-2</v>
      </c>
      <c r="AD71" s="107">
        <v>1130</v>
      </c>
      <c r="AE71" s="108">
        <f t="shared" si="544"/>
        <v>8.8398654462958623E-2</v>
      </c>
      <c r="AF71" s="107">
        <v>14584</v>
      </c>
      <c r="AG71" s="107">
        <v>514</v>
      </c>
      <c r="AH71" s="108">
        <f t="shared" si="545"/>
        <v>3.5244103126714207E-2</v>
      </c>
      <c r="AI71" s="107">
        <v>7388</v>
      </c>
      <c r="AJ71" s="108">
        <f t="shared" si="546"/>
        <v>0.50658255622600112</v>
      </c>
      <c r="AK71" s="107">
        <v>362</v>
      </c>
      <c r="AL71" s="108">
        <f t="shared" si="547"/>
        <v>2.4821722435545805E-2</v>
      </c>
      <c r="AM71" s="107">
        <v>4289</v>
      </c>
      <c r="AN71" s="108">
        <f t="shared" si="548"/>
        <v>0.2940894130554032</v>
      </c>
      <c r="AO71" s="107">
        <v>2031</v>
      </c>
      <c r="AP71" s="108">
        <f t="shared" si="549"/>
        <v>0.13926220515633572</v>
      </c>
      <c r="AQ71" s="107">
        <f t="shared" si="550"/>
        <v>27367</v>
      </c>
      <c r="AR71" s="107">
        <f t="shared" si="551"/>
        <v>1078</v>
      </c>
      <c r="AS71" s="108">
        <f t="shared" si="552"/>
        <v>3.9390506814776918E-2</v>
      </c>
      <c r="AT71" s="107">
        <f t="shared" si="553"/>
        <v>17121</v>
      </c>
      <c r="AU71" s="108">
        <f t="shared" si="554"/>
        <v>0.62560748346548767</v>
      </c>
      <c r="AV71" s="107">
        <f t="shared" si="555"/>
        <v>680</v>
      </c>
      <c r="AW71" s="108">
        <f t="shared" si="556"/>
        <v>2.4847444001900098E-2</v>
      </c>
      <c r="AX71" s="107">
        <f t="shared" si="557"/>
        <v>5327</v>
      </c>
      <c r="AY71" s="108">
        <f t="shared" si="558"/>
        <v>0.1946504914678262</v>
      </c>
      <c r="AZ71" s="107">
        <f t="shared" si="559"/>
        <v>3161</v>
      </c>
      <c r="BA71" s="108">
        <f t="shared" si="560"/>
        <v>0.11550407425000914</v>
      </c>
      <c r="BB71" s="111">
        <v>12695</v>
      </c>
      <c r="BC71" s="111">
        <v>3274</v>
      </c>
      <c r="BD71" s="152">
        <f t="shared" si="561"/>
        <v>0.25789680976762502</v>
      </c>
      <c r="BE71" s="111">
        <v>14334</v>
      </c>
      <c r="BF71" s="111">
        <v>4082</v>
      </c>
      <c r="BG71" s="152">
        <f t="shared" si="524"/>
        <v>0.28477745221152506</v>
      </c>
      <c r="BH71" s="153">
        <f t="shared" si="562"/>
        <v>27029</v>
      </c>
      <c r="BI71" s="153">
        <f t="shared" si="563"/>
        <v>7356</v>
      </c>
      <c r="BJ71" s="154">
        <f t="shared" si="564"/>
        <v>0.27215213289429874</v>
      </c>
      <c r="BK71" s="107">
        <v>27367</v>
      </c>
      <c r="BL71" s="107">
        <v>7024</v>
      </c>
      <c r="BM71" s="108">
        <f t="shared" si="565"/>
        <v>0.25665948039609748</v>
      </c>
      <c r="BN71" s="107">
        <v>12783</v>
      </c>
      <c r="BO71" s="107">
        <v>1965</v>
      </c>
      <c r="BP71" s="108">
        <f t="shared" si="566"/>
        <v>0.15371978408824219</v>
      </c>
      <c r="BQ71" s="107">
        <v>14584</v>
      </c>
      <c r="BR71" s="107">
        <v>5059</v>
      </c>
      <c r="BS71" s="108">
        <f t="shared" si="567"/>
        <v>0.34688699945145363</v>
      </c>
      <c r="BT71" s="113">
        <v>138727</v>
      </c>
      <c r="BU71" s="113">
        <v>29640</v>
      </c>
      <c r="BV71" s="156">
        <f t="shared" si="568"/>
        <v>0.21365703864424374</v>
      </c>
      <c r="BW71" s="156">
        <f t="shared" si="569"/>
        <v>1</v>
      </c>
      <c r="BX71" s="113">
        <v>125629</v>
      </c>
      <c r="BY71" s="113">
        <v>28739</v>
      </c>
      <c r="BZ71" s="156">
        <f t="shared" si="570"/>
        <v>0.22876087527561312</v>
      </c>
      <c r="CA71" s="156">
        <f t="shared" si="571"/>
        <v>0.96960188933873148</v>
      </c>
      <c r="CB71" s="113">
        <v>2510</v>
      </c>
      <c r="CC71" s="113">
        <v>207</v>
      </c>
      <c r="CD71" s="156">
        <f t="shared" si="572"/>
        <v>8.2470119521912355E-2</v>
      </c>
      <c r="CE71" s="156">
        <f t="shared" si="619"/>
        <v>6.9838056680161945E-3</v>
      </c>
      <c r="CF71" s="113">
        <v>405</v>
      </c>
      <c r="CG71" s="113">
        <v>65</v>
      </c>
      <c r="CH71" s="156">
        <f t="shared" si="573"/>
        <v>0.16049382716049382</v>
      </c>
      <c r="CI71" s="156">
        <f t="shared" si="574"/>
        <v>2.1929824561403508E-3</v>
      </c>
      <c r="CJ71" s="113">
        <v>2656</v>
      </c>
      <c r="CK71" s="113">
        <v>194</v>
      </c>
      <c r="CL71" s="161">
        <f t="shared" si="575"/>
        <v>7.3042168674698801E-2</v>
      </c>
      <c r="CM71" s="156">
        <f t="shared" si="576"/>
        <v>6.5452091767881238E-3</v>
      </c>
      <c r="CN71" s="113">
        <v>46</v>
      </c>
      <c r="CO71" s="113">
        <v>6</v>
      </c>
      <c r="CP71" s="161">
        <f t="shared" si="577"/>
        <v>0.13043478260869565</v>
      </c>
      <c r="CQ71" s="156">
        <f t="shared" si="578"/>
        <v>2.0242914979757084E-4</v>
      </c>
      <c r="CR71" s="105">
        <v>578</v>
      </c>
      <c r="CS71" s="105">
        <v>20</v>
      </c>
      <c r="CT71" s="106">
        <f t="shared" si="579"/>
        <v>3.4602076124567477E-2</v>
      </c>
      <c r="CU71" s="106">
        <f t="shared" si="580"/>
        <v>6.7476383265856947E-4</v>
      </c>
      <c r="CV71" s="113">
        <v>1923</v>
      </c>
      <c r="CW71" s="113">
        <v>99</v>
      </c>
      <c r="CX71" s="156">
        <f t="shared" si="581"/>
        <v>5.1482059282371297E-2</v>
      </c>
      <c r="CY71" s="156">
        <f t="shared" si="582"/>
        <v>3.3400809716599192E-3</v>
      </c>
      <c r="CZ71" s="113">
        <v>5558</v>
      </c>
      <c r="DA71" s="113">
        <v>330</v>
      </c>
      <c r="DB71" s="156">
        <f t="shared" si="583"/>
        <v>5.9373875494782298E-2</v>
      </c>
      <c r="DC71" s="156">
        <f t="shared" si="584"/>
        <v>1.1133603238866396E-2</v>
      </c>
      <c r="DD71" s="107">
        <v>12783</v>
      </c>
      <c r="DE71" s="107">
        <v>762</v>
      </c>
      <c r="DF71" s="107">
        <v>4688</v>
      </c>
      <c r="DG71" s="107">
        <v>3976</v>
      </c>
      <c r="DH71" s="107">
        <v>3357</v>
      </c>
      <c r="DI71" s="149">
        <f t="shared" si="585"/>
        <v>5.9610420089180945E-2</v>
      </c>
      <c r="DJ71" s="149">
        <f t="shared" si="586"/>
        <v>0.366737072674646</v>
      </c>
      <c r="DK71" s="149">
        <f t="shared" si="587"/>
        <v>0.573652507236173</v>
      </c>
      <c r="DL71" s="107">
        <v>14584</v>
      </c>
      <c r="DM71" s="107">
        <v>976</v>
      </c>
      <c r="DN71" s="107">
        <v>6319</v>
      </c>
      <c r="DO71" s="107">
        <v>4291</v>
      </c>
      <c r="DP71" s="107">
        <v>2998</v>
      </c>
      <c r="DQ71" s="149">
        <f t="shared" si="588"/>
        <v>6.6922654964344491E-2</v>
      </c>
      <c r="DR71" s="149">
        <f t="shared" si="589"/>
        <v>0.43328304991771804</v>
      </c>
      <c r="DS71" s="149">
        <f t="shared" si="590"/>
        <v>0.49979429511793749</v>
      </c>
      <c r="DT71" s="107">
        <f t="shared" si="591"/>
        <v>27367</v>
      </c>
      <c r="DU71" s="107">
        <f t="shared" si="592"/>
        <v>1738</v>
      </c>
      <c r="DV71" s="107">
        <f t="shared" si="593"/>
        <v>11007</v>
      </c>
      <c r="DW71" s="107">
        <f t="shared" si="594"/>
        <v>8267</v>
      </c>
      <c r="DX71" s="107">
        <f t="shared" si="595"/>
        <v>6355</v>
      </c>
      <c r="DY71" s="108">
        <f t="shared" si="596"/>
        <v>6.3507143640150546E-2</v>
      </c>
      <c r="DZ71" s="108">
        <f t="shared" si="597"/>
        <v>0.4021997296013447</v>
      </c>
      <c r="EA71" s="108">
        <f t="shared" si="598"/>
        <v>0.53429312675850482</v>
      </c>
      <c r="EB71" s="107">
        <v>17680</v>
      </c>
      <c r="EC71" s="110">
        <v>1262</v>
      </c>
      <c r="ED71" s="108">
        <f t="shared" si="599"/>
        <v>7.1380090497737553E-2</v>
      </c>
      <c r="EE71" s="107">
        <v>2614</v>
      </c>
      <c r="EF71" s="108">
        <f t="shared" si="599"/>
        <v>0.14785067873303168</v>
      </c>
      <c r="EG71" s="107">
        <v>4860</v>
      </c>
      <c r="EH71" s="108">
        <f t="shared" ref="EH71" si="627">EG71/$EB71</f>
        <v>0.27488687782805432</v>
      </c>
      <c r="EI71" s="107">
        <v>6743</v>
      </c>
      <c r="EJ71" s="108">
        <f t="shared" ref="EJ71" si="628">EI71/$EB71</f>
        <v>0.3813914027149321</v>
      </c>
      <c r="EK71" s="107">
        <v>10990</v>
      </c>
      <c r="EL71" s="108">
        <f t="shared" ref="EL71" si="629">EK71/$EB71</f>
        <v>0.62160633484162897</v>
      </c>
      <c r="EM71" s="107">
        <v>13281</v>
      </c>
      <c r="EN71" s="108">
        <f t="shared" ref="EN71" si="630">EM71/$EB71</f>
        <v>0.75118778280542986</v>
      </c>
      <c r="EO71" s="163">
        <v>96359</v>
      </c>
      <c r="EP71" s="163">
        <v>65573</v>
      </c>
      <c r="EQ71" s="163">
        <v>108876</v>
      </c>
      <c r="ER71" s="163">
        <v>122195</v>
      </c>
      <c r="ES71" s="163">
        <v>62242</v>
      </c>
      <c r="ET71" s="107">
        <v>12695</v>
      </c>
      <c r="EU71" s="107">
        <v>816</v>
      </c>
      <c r="EV71" s="108">
        <f t="shared" si="604"/>
        <v>6.4277274517526586E-2</v>
      </c>
      <c r="EW71" s="107">
        <v>14334</v>
      </c>
      <c r="EX71" s="107">
        <v>1169</v>
      </c>
      <c r="EY71" s="108">
        <f t="shared" si="605"/>
        <v>8.1554346309473974E-2</v>
      </c>
      <c r="EZ71" s="107">
        <f t="shared" si="606"/>
        <v>27029</v>
      </c>
      <c r="FA71" s="107">
        <f t="shared" si="607"/>
        <v>1985</v>
      </c>
      <c r="FB71" s="108">
        <f t="shared" si="608"/>
        <v>7.3439638906359836E-2</v>
      </c>
      <c r="FC71" s="107">
        <v>27029</v>
      </c>
      <c r="FD71" s="107">
        <v>1985</v>
      </c>
      <c r="FE71" s="108">
        <f t="shared" si="609"/>
        <v>7.3439638906359836E-2</v>
      </c>
      <c r="FF71" s="107">
        <v>3388</v>
      </c>
      <c r="FG71" s="108">
        <f t="shared" si="609"/>
        <v>0.12534684967997337</v>
      </c>
      <c r="FH71" s="107">
        <v>5105</v>
      </c>
      <c r="FI71" s="108">
        <f t="shared" ref="FI71" si="631">FH71/$FC71</f>
        <v>0.18887121240149468</v>
      </c>
      <c r="FJ71" s="107">
        <v>6038</v>
      </c>
      <c r="FK71" s="108">
        <f t="shared" ref="FK71" si="632">FJ71/$FC71</f>
        <v>0.22338969255244367</v>
      </c>
      <c r="FL71" s="107">
        <v>10147</v>
      </c>
      <c r="FM71" s="108">
        <f t="shared" ref="FM71" si="633">FL71/$FC71</f>
        <v>0.37541159495356841</v>
      </c>
      <c r="FN71" s="107">
        <v>2588</v>
      </c>
      <c r="FO71" s="108">
        <v>0.32301547678482279</v>
      </c>
      <c r="FP71" s="107">
        <v>165</v>
      </c>
      <c r="FQ71" s="108">
        <v>2.0594108836744882E-2</v>
      </c>
      <c r="FR71" s="107">
        <v>435</v>
      </c>
      <c r="FS71" s="108">
        <v>9.1175854118633409E-2</v>
      </c>
      <c r="FT71" s="110">
        <v>0</v>
      </c>
      <c r="FU71" s="108">
        <v>0</v>
      </c>
      <c r="FV71" s="107">
        <v>1564</v>
      </c>
      <c r="FW71" s="108">
        <v>0.18491369117994799</v>
      </c>
      <c r="FX71" s="107">
        <v>16</v>
      </c>
      <c r="FY71" s="108">
        <v>1.8917001655237645E-3</v>
      </c>
      <c r="FZ71" s="107">
        <v>229</v>
      </c>
      <c r="GA71" s="108">
        <v>3.7381651975187724E-2</v>
      </c>
      <c r="GB71" s="107">
        <v>7</v>
      </c>
      <c r="GC71" s="108">
        <v>1.1426705843943846E-3</v>
      </c>
      <c r="GD71" s="107">
        <v>4816</v>
      </c>
      <c r="GE71" s="117">
        <v>0.17597836810757481</v>
      </c>
      <c r="GF71" s="107">
        <v>188</v>
      </c>
      <c r="GG71" s="117">
        <v>6.8695874593488505E-3</v>
      </c>
      <c r="GH71" s="107">
        <v>17680</v>
      </c>
      <c r="GI71" s="107">
        <v>3415</v>
      </c>
      <c r="GJ71" s="108">
        <f t="shared" si="613"/>
        <v>0.19315610859728508</v>
      </c>
      <c r="GK71" s="107">
        <v>944</v>
      </c>
      <c r="GL71" s="108">
        <f t="shared" si="614"/>
        <v>0.27642752562225475</v>
      </c>
      <c r="GM71" s="107">
        <v>2263</v>
      </c>
      <c r="GN71" s="108">
        <f t="shared" si="615"/>
        <v>0.66266471449487552</v>
      </c>
      <c r="GO71" s="107">
        <v>14265</v>
      </c>
      <c r="GP71" s="108">
        <f t="shared" si="616"/>
        <v>0.80684389140271495</v>
      </c>
      <c r="GQ71" s="107">
        <v>10968</v>
      </c>
      <c r="GR71" s="108">
        <f t="shared" si="617"/>
        <v>0.76887486855941112</v>
      </c>
      <c r="GS71" s="107">
        <v>3196</v>
      </c>
      <c r="GT71" s="108">
        <f t="shared" si="618"/>
        <v>0.22404486505432877</v>
      </c>
    </row>
    <row r="72" spans="1:202" x14ac:dyDescent="0.25">
      <c r="A72" s="104" t="s">
        <v>243</v>
      </c>
      <c r="B72" s="143">
        <v>411762</v>
      </c>
      <c r="C72" s="143">
        <v>115869</v>
      </c>
      <c r="D72" s="143">
        <v>84338</v>
      </c>
      <c r="E72" s="143">
        <v>34648</v>
      </c>
      <c r="F72" s="143">
        <v>10771</v>
      </c>
      <c r="G72" s="144">
        <f t="shared" si="532"/>
        <v>0.28139799204394772</v>
      </c>
      <c r="H72" s="144">
        <f t="shared" si="533"/>
        <v>0.20482220311733476</v>
      </c>
      <c r="I72" s="144">
        <f t="shared" si="534"/>
        <v>8.4145695814572499E-2</v>
      </c>
      <c r="J72" s="144">
        <f t="shared" si="535"/>
        <v>2.6158314754639818E-2</v>
      </c>
      <c r="K72" s="143">
        <v>38589</v>
      </c>
      <c r="L72" s="145">
        <f t="shared" si="536"/>
        <v>0.45755175602931064</v>
      </c>
      <c r="M72" s="143">
        <v>45749</v>
      </c>
      <c r="N72" s="145">
        <f t="shared" si="537"/>
        <v>0.54244824397068936</v>
      </c>
      <c r="O72" s="148">
        <v>43.5</v>
      </c>
      <c r="P72" s="107">
        <v>168658</v>
      </c>
      <c r="Q72" s="107">
        <v>76611</v>
      </c>
      <c r="R72" s="108">
        <f t="shared" si="538"/>
        <v>0.45423875535106545</v>
      </c>
      <c r="S72" s="107">
        <v>58331</v>
      </c>
      <c r="T72" s="149">
        <f t="shared" si="539"/>
        <v>0.34585373952021248</v>
      </c>
      <c r="U72" s="143">
        <v>38589</v>
      </c>
      <c r="V72" s="107">
        <v>1939</v>
      </c>
      <c r="W72" s="108">
        <f t="shared" si="540"/>
        <v>5.0247479851771228E-2</v>
      </c>
      <c r="X72" s="107">
        <v>28376</v>
      </c>
      <c r="Y72" s="150">
        <f t="shared" si="541"/>
        <v>0.73533908626810751</v>
      </c>
      <c r="Z72" s="107">
        <v>1048</v>
      </c>
      <c r="AA72" s="108">
        <f t="shared" si="542"/>
        <v>2.7157998393324521E-2</v>
      </c>
      <c r="AB72" s="107">
        <v>3485</v>
      </c>
      <c r="AC72" s="108">
        <f t="shared" si="543"/>
        <v>9.0310710306045761E-2</v>
      </c>
      <c r="AD72" s="107">
        <v>3741</v>
      </c>
      <c r="AE72" s="108">
        <f t="shared" si="544"/>
        <v>9.6944725180750993E-2</v>
      </c>
      <c r="AF72" s="107">
        <v>45749</v>
      </c>
      <c r="AG72" s="107">
        <v>2321</v>
      </c>
      <c r="AH72" s="108">
        <f t="shared" si="545"/>
        <v>5.0733349362827605E-2</v>
      </c>
      <c r="AI72" s="107">
        <v>22934</v>
      </c>
      <c r="AJ72" s="108">
        <f t="shared" si="546"/>
        <v>0.50130057487595359</v>
      </c>
      <c r="AK72" s="107">
        <v>916</v>
      </c>
      <c r="AL72" s="108">
        <f t="shared" si="547"/>
        <v>2.0022295569302063E-2</v>
      </c>
      <c r="AM72" s="107">
        <v>12685</v>
      </c>
      <c r="AN72" s="108">
        <f t="shared" si="548"/>
        <v>0.27727382019279112</v>
      </c>
      <c r="AO72" s="107">
        <v>6893</v>
      </c>
      <c r="AP72" s="108">
        <f t="shared" si="549"/>
        <v>0.15066995999912566</v>
      </c>
      <c r="AQ72" s="107">
        <f t="shared" si="550"/>
        <v>84338</v>
      </c>
      <c r="AR72" s="107">
        <f t="shared" si="551"/>
        <v>4260</v>
      </c>
      <c r="AS72" s="108">
        <f t="shared" si="552"/>
        <v>5.0511038914842654E-2</v>
      </c>
      <c r="AT72" s="107">
        <f t="shared" si="553"/>
        <v>51310</v>
      </c>
      <c r="AU72" s="108">
        <f t="shared" si="554"/>
        <v>0.60838530674191937</v>
      </c>
      <c r="AV72" s="107">
        <f t="shared" si="555"/>
        <v>1964</v>
      </c>
      <c r="AW72" s="108">
        <f t="shared" si="556"/>
        <v>2.328724892693685E-2</v>
      </c>
      <c r="AX72" s="107">
        <f t="shared" si="557"/>
        <v>16170</v>
      </c>
      <c r="AY72" s="108">
        <f t="shared" si="558"/>
        <v>0.1917285209514098</v>
      </c>
      <c r="AZ72" s="107">
        <f t="shared" si="559"/>
        <v>10634</v>
      </c>
      <c r="BA72" s="108">
        <f t="shared" si="560"/>
        <v>0.12608788446489128</v>
      </c>
      <c r="BB72" s="111">
        <v>38182</v>
      </c>
      <c r="BC72" s="111">
        <v>9430</v>
      </c>
      <c r="BD72" s="152">
        <f t="shared" si="561"/>
        <v>0.2469750144046933</v>
      </c>
      <c r="BE72" s="111">
        <v>44753</v>
      </c>
      <c r="BF72" s="111">
        <v>11375</v>
      </c>
      <c r="BG72" s="152">
        <f t="shared" si="524"/>
        <v>0.25417290460974684</v>
      </c>
      <c r="BH72" s="153">
        <f t="shared" si="562"/>
        <v>82935</v>
      </c>
      <c r="BI72" s="153">
        <f t="shared" si="563"/>
        <v>20805</v>
      </c>
      <c r="BJ72" s="154">
        <f t="shared" si="564"/>
        <v>0.25085910652920962</v>
      </c>
      <c r="BK72" s="107">
        <v>84338</v>
      </c>
      <c r="BL72" s="107">
        <v>22245</v>
      </c>
      <c r="BM72" s="108">
        <f t="shared" si="565"/>
        <v>0.26376010813630868</v>
      </c>
      <c r="BN72" s="107">
        <v>38589</v>
      </c>
      <c r="BO72" s="107">
        <v>6465</v>
      </c>
      <c r="BP72" s="108">
        <f t="shared" si="566"/>
        <v>0.1675347897069113</v>
      </c>
      <c r="BQ72" s="107">
        <v>45749</v>
      </c>
      <c r="BR72" s="107">
        <v>15780</v>
      </c>
      <c r="BS72" s="108">
        <f t="shared" si="567"/>
        <v>0.34492557214365344</v>
      </c>
      <c r="BT72" s="113">
        <v>417029</v>
      </c>
      <c r="BU72" s="113">
        <v>90974</v>
      </c>
      <c r="BV72" s="156">
        <f t="shared" si="568"/>
        <v>0.21814789858738839</v>
      </c>
      <c r="BW72" s="156">
        <f t="shared" si="569"/>
        <v>1</v>
      </c>
      <c r="BX72" s="113">
        <v>356225</v>
      </c>
      <c r="BY72" s="113">
        <v>86149</v>
      </c>
      <c r="BZ72" s="156">
        <f t="shared" si="570"/>
        <v>0.24183872552459823</v>
      </c>
      <c r="CA72" s="156">
        <f t="shared" si="571"/>
        <v>0.94696286851188249</v>
      </c>
      <c r="CB72" s="113">
        <v>8455</v>
      </c>
      <c r="CC72" s="113">
        <v>875</v>
      </c>
      <c r="CD72" s="156">
        <f t="shared" si="572"/>
        <v>0.10348905972797161</v>
      </c>
      <c r="CE72" s="156">
        <f t="shared" si="619"/>
        <v>9.6181326532855538E-3</v>
      </c>
      <c r="CF72" s="113">
        <v>922</v>
      </c>
      <c r="CG72" s="113">
        <v>99</v>
      </c>
      <c r="CH72" s="156">
        <f t="shared" si="573"/>
        <v>0.10737527114967461</v>
      </c>
      <c r="CI72" s="156">
        <f t="shared" si="574"/>
        <v>1.088223008771737E-3</v>
      </c>
      <c r="CJ72" s="113">
        <v>18689</v>
      </c>
      <c r="CK72" s="113">
        <v>1738</v>
      </c>
      <c r="CL72" s="161">
        <f t="shared" si="575"/>
        <v>9.2995879929370223E-2</v>
      </c>
      <c r="CM72" s="156">
        <f t="shared" si="576"/>
        <v>1.9104359487326049E-2</v>
      </c>
      <c r="CN72" s="113">
        <v>155</v>
      </c>
      <c r="CO72" s="113">
        <v>21</v>
      </c>
      <c r="CP72" s="161">
        <f t="shared" si="577"/>
        <v>0.13548387096774195</v>
      </c>
      <c r="CQ72" s="156">
        <f t="shared" si="578"/>
        <v>2.308351836788533E-4</v>
      </c>
      <c r="CR72" s="105">
        <v>3915</v>
      </c>
      <c r="CS72" s="105">
        <v>75</v>
      </c>
      <c r="CT72" s="106">
        <f t="shared" si="579"/>
        <v>1.9157088122605363E-2</v>
      </c>
      <c r="CU72" s="106">
        <f t="shared" si="580"/>
        <v>8.2441137028161889E-4</v>
      </c>
      <c r="CV72" s="113">
        <v>7055</v>
      </c>
      <c r="CW72" s="113">
        <v>279</v>
      </c>
      <c r="CX72" s="156">
        <f t="shared" si="581"/>
        <v>3.9546420978029767E-2</v>
      </c>
      <c r="CY72" s="156">
        <f t="shared" si="582"/>
        <v>3.0668102974476222E-3</v>
      </c>
      <c r="CZ72" s="113">
        <v>25528</v>
      </c>
      <c r="DA72" s="113">
        <v>1813</v>
      </c>
      <c r="DB72" s="156">
        <f t="shared" si="583"/>
        <v>7.1020056408649321E-2</v>
      </c>
      <c r="DC72" s="156">
        <f t="shared" si="584"/>
        <v>1.9928770857607667E-2</v>
      </c>
      <c r="DD72" s="107">
        <v>38589</v>
      </c>
      <c r="DE72" s="107">
        <v>1305</v>
      </c>
      <c r="DF72" s="107">
        <v>10003</v>
      </c>
      <c r="DG72" s="107">
        <v>11337</v>
      </c>
      <c r="DH72" s="107">
        <v>15944</v>
      </c>
      <c r="DI72" s="149">
        <f t="shared" si="585"/>
        <v>3.3817927388634067E-2</v>
      </c>
      <c r="DJ72" s="149">
        <f t="shared" si="586"/>
        <v>0.25921894840498588</v>
      </c>
      <c r="DK72" s="149">
        <f t="shared" si="587"/>
        <v>0.70696312420638008</v>
      </c>
      <c r="DL72" s="107">
        <v>45749</v>
      </c>
      <c r="DM72" s="107">
        <v>1861</v>
      </c>
      <c r="DN72" s="107">
        <v>14902</v>
      </c>
      <c r="DO72" s="107">
        <v>13465</v>
      </c>
      <c r="DP72" s="107">
        <v>15521</v>
      </c>
      <c r="DQ72" s="149">
        <f t="shared" si="588"/>
        <v>4.0678484775623511E-2</v>
      </c>
      <c r="DR72" s="149">
        <f t="shared" si="589"/>
        <v>0.3257338958228595</v>
      </c>
      <c r="DS72" s="149">
        <f t="shared" si="590"/>
        <v>0.63358761940151698</v>
      </c>
      <c r="DT72" s="107">
        <f t="shared" si="591"/>
        <v>84338</v>
      </c>
      <c r="DU72" s="107">
        <f t="shared" si="592"/>
        <v>3166</v>
      </c>
      <c r="DV72" s="107">
        <f t="shared" si="593"/>
        <v>24905</v>
      </c>
      <c r="DW72" s="107">
        <f t="shared" si="594"/>
        <v>24802</v>
      </c>
      <c r="DX72" s="107">
        <f t="shared" si="595"/>
        <v>31465</v>
      </c>
      <c r="DY72" s="108">
        <f t="shared" si="596"/>
        <v>3.753942469586663E-2</v>
      </c>
      <c r="DZ72" s="108">
        <f t="shared" si="597"/>
        <v>0.29529986482961418</v>
      </c>
      <c r="EA72" s="108">
        <f t="shared" si="598"/>
        <v>0.66716071047451919</v>
      </c>
      <c r="EB72" s="107">
        <v>53148</v>
      </c>
      <c r="EC72" s="110">
        <v>3367</v>
      </c>
      <c r="ED72" s="108">
        <f t="shared" si="599"/>
        <v>6.3351396101452545E-2</v>
      </c>
      <c r="EE72" s="107">
        <v>7566</v>
      </c>
      <c r="EF72" s="108">
        <f t="shared" si="599"/>
        <v>0.14235719123955745</v>
      </c>
      <c r="EG72" s="107">
        <v>13063</v>
      </c>
      <c r="EH72" s="108">
        <f t="shared" ref="EH72" si="634">EG72/$EB72</f>
        <v>0.24578535410551666</v>
      </c>
      <c r="EI72" s="107">
        <v>19674</v>
      </c>
      <c r="EJ72" s="108">
        <f t="shared" ref="EJ72" si="635">EI72/$EB72</f>
        <v>0.37017385414314746</v>
      </c>
      <c r="EK72" s="107">
        <v>29934</v>
      </c>
      <c r="EL72" s="108">
        <f t="shared" ref="EL72" si="636">EK72/$EB72</f>
        <v>0.5632196884172499</v>
      </c>
      <c r="EM72" s="107">
        <v>37460</v>
      </c>
      <c r="EN72" s="108">
        <f t="shared" ref="EN72" si="637">EM72/$EB72</f>
        <v>0.70482426431850687</v>
      </c>
      <c r="EO72" s="163">
        <v>106076</v>
      </c>
      <c r="EP72" s="163">
        <v>58775</v>
      </c>
      <c r="EQ72" s="163">
        <v>127042</v>
      </c>
      <c r="ER72" s="163">
        <v>135113</v>
      </c>
      <c r="ES72" s="163">
        <v>65141</v>
      </c>
      <c r="ET72" s="107">
        <v>38182</v>
      </c>
      <c r="EU72" s="107">
        <v>1689</v>
      </c>
      <c r="EV72" s="108">
        <f t="shared" si="604"/>
        <v>4.4235503640458855E-2</v>
      </c>
      <c r="EW72" s="107">
        <v>44753</v>
      </c>
      <c r="EX72" s="107">
        <v>3919</v>
      </c>
      <c r="EY72" s="108">
        <f t="shared" si="605"/>
        <v>8.7569548410162443E-2</v>
      </c>
      <c r="EZ72" s="107">
        <f t="shared" si="606"/>
        <v>82935</v>
      </c>
      <c r="FA72" s="107">
        <f t="shared" si="607"/>
        <v>5608</v>
      </c>
      <c r="FB72" s="108">
        <f t="shared" si="608"/>
        <v>6.7619219870983294E-2</v>
      </c>
      <c r="FC72" s="107">
        <v>82935</v>
      </c>
      <c r="FD72" s="107">
        <v>5608</v>
      </c>
      <c r="FE72" s="108">
        <f t="shared" si="609"/>
        <v>6.7619219870983294E-2</v>
      </c>
      <c r="FF72" s="107">
        <v>9697</v>
      </c>
      <c r="FG72" s="108">
        <f t="shared" si="609"/>
        <v>0.11692289142099234</v>
      </c>
      <c r="FH72" s="107">
        <v>13055</v>
      </c>
      <c r="FI72" s="108">
        <f t="shared" ref="FI72" si="638">FH72/$FC72</f>
        <v>0.1574124314221981</v>
      </c>
      <c r="FJ72" s="107">
        <v>15388</v>
      </c>
      <c r="FK72" s="108">
        <f t="shared" ref="FK72" si="639">FJ72/$FC72</f>
        <v>0.185542895038283</v>
      </c>
      <c r="FL72" s="107">
        <v>28689</v>
      </c>
      <c r="FM72" s="108">
        <f t="shared" ref="FM72" si="640">FL72/$FC72</f>
        <v>0.34592150479291012</v>
      </c>
      <c r="FN72" s="107">
        <v>7165</v>
      </c>
      <c r="FO72" s="108">
        <v>0.29891531080517314</v>
      </c>
      <c r="FP72" s="107">
        <v>69</v>
      </c>
      <c r="FQ72" s="108">
        <v>2.8785982478097623E-3</v>
      </c>
      <c r="FR72" s="107">
        <v>1448</v>
      </c>
      <c r="FS72" s="108">
        <v>9.9049182570627267E-2</v>
      </c>
      <c r="FT72" s="110">
        <v>1</v>
      </c>
      <c r="FU72" s="108">
        <v>6.8404131609549218E-5</v>
      </c>
      <c r="FV72" s="107">
        <v>5454</v>
      </c>
      <c r="FW72" s="108">
        <v>0.2120528771384137</v>
      </c>
      <c r="FX72" s="107">
        <v>37</v>
      </c>
      <c r="FY72" s="108">
        <v>1.4385692068429239E-3</v>
      </c>
      <c r="FZ72" s="107">
        <v>870</v>
      </c>
      <c r="GA72" s="108">
        <v>4.3437016326326829E-2</v>
      </c>
      <c r="GB72" s="107">
        <v>4</v>
      </c>
      <c r="GC72" s="108">
        <v>1.9971041989115781E-4</v>
      </c>
      <c r="GD72" s="107">
        <v>14937</v>
      </c>
      <c r="GE72" s="117">
        <v>0.17710877658943774</v>
      </c>
      <c r="GF72" s="107">
        <v>111</v>
      </c>
      <c r="GG72" s="117">
        <v>1.3161327041191398E-3</v>
      </c>
      <c r="GH72" s="107">
        <v>53148</v>
      </c>
      <c r="GI72" s="107">
        <v>11485</v>
      </c>
      <c r="GJ72" s="108">
        <f t="shared" si="613"/>
        <v>0.21609467900955823</v>
      </c>
      <c r="GK72" s="107">
        <v>3194</v>
      </c>
      <c r="GL72" s="108">
        <f t="shared" si="614"/>
        <v>0.27810187200696562</v>
      </c>
      <c r="GM72" s="107">
        <v>7626</v>
      </c>
      <c r="GN72" s="108">
        <f t="shared" si="615"/>
        <v>0.66399651719634301</v>
      </c>
      <c r="GO72" s="107">
        <v>41663</v>
      </c>
      <c r="GP72" s="108">
        <f t="shared" si="616"/>
        <v>0.78390532099044175</v>
      </c>
      <c r="GQ72" s="107">
        <v>30657</v>
      </c>
      <c r="GR72" s="108">
        <f t="shared" si="617"/>
        <v>0.73583275328228881</v>
      </c>
      <c r="GS72" s="107">
        <v>10658</v>
      </c>
      <c r="GT72" s="108">
        <f t="shared" si="618"/>
        <v>0.25581451167702757</v>
      </c>
    </row>
    <row r="73" spans="1:202" x14ac:dyDescent="0.25">
      <c r="A73" s="104" t="s">
        <v>244</v>
      </c>
      <c r="B73" s="143">
        <v>51569</v>
      </c>
      <c r="C73" s="143">
        <v>15471</v>
      </c>
      <c r="D73" s="143">
        <v>10967</v>
      </c>
      <c r="E73" s="143">
        <v>4409</v>
      </c>
      <c r="F73" s="143">
        <v>1344</v>
      </c>
      <c r="G73" s="144">
        <f t="shared" si="532"/>
        <v>0.3000058174484671</v>
      </c>
      <c r="H73" s="144">
        <f t="shared" si="533"/>
        <v>0.2126665244623708</v>
      </c>
      <c r="I73" s="144">
        <f t="shared" si="534"/>
        <v>8.549710097151389E-2</v>
      </c>
      <c r="J73" s="144">
        <f t="shared" si="535"/>
        <v>2.6062169132618433E-2</v>
      </c>
      <c r="K73" s="143">
        <v>5353</v>
      </c>
      <c r="L73" s="145">
        <f t="shared" si="536"/>
        <v>0.48810066563326343</v>
      </c>
      <c r="M73" s="143">
        <v>5614</v>
      </c>
      <c r="N73" s="145">
        <f t="shared" si="537"/>
        <v>0.51189933436673662</v>
      </c>
      <c r="O73" s="148">
        <v>45.3</v>
      </c>
      <c r="P73" s="107">
        <v>22571</v>
      </c>
      <c r="Q73" s="107">
        <v>10589</v>
      </c>
      <c r="R73" s="108">
        <f t="shared" si="538"/>
        <v>0.46914181914846487</v>
      </c>
      <c r="S73" s="107">
        <v>7727</v>
      </c>
      <c r="T73" s="149">
        <f t="shared" si="539"/>
        <v>0.34234194320145317</v>
      </c>
      <c r="U73" s="143">
        <v>5353</v>
      </c>
      <c r="V73" s="107">
        <v>412</v>
      </c>
      <c r="W73" s="108">
        <f t="shared" si="540"/>
        <v>7.6966187184756216E-2</v>
      </c>
      <c r="X73" s="107">
        <v>3207</v>
      </c>
      <c r="Y73" s="150">
        <f t="shared" si="541"/>
        <v>0.59910330655707078</v>
      </c>
      <c r="Z73" s="107">
        <v>243</v>
      </c>
      <c r="AA73" s="108">
        <f t="shared" si="542"/>
        <v>4.5395105548290675E-2</v>
      </c>
      <c r="AB73" s="107">
        <v>645</v>
      </c>
      <c r="AC73" s="108">
        <f t="shared" si="543"/>
        <v>0.12049318139361107</v>
      </c>
      <c r="AD73" s="107">
        <v>846</v>
      </c>
      <c r="AE73" s="108">
        <f t="shared" si="544"/>
        <v>0.15804221931627124</v>
      </c>
      <c r="AF73" s="107">
        <v>5614</v>
      </c>
      <c r="AG73" s="107">
        <v>221</v>
      </c>
      <c r="AH73" s="108">
        <f t="shared" si="545"/>
        <v>3.9365871036693978E-2</v>
      </c>
      <c r="AI73" s="107">
        <v>2882</v>
      </c>
      <c r="AJ73" s="108">
        <f t="shared" si="546"/>
        <v>0.51335945849661557</v>
      </c>
      <c r="AK73" s="107">
        <v>184</v>
      </c>
      <c r="AL73" s="108">
        <f t="shared" si="547"/>
        <v>3.2775204845030284E-2</v>
      </c>
      <c r="AM73" s="107">
        <v>1485</v>
      </c>
      <c r="AN73" s="108">
        <f t="shared" si="548"/>
        <v>0.26451727823298898</v>
      </c>
      <c r="AO73" s="107">
        <v>842</v>
      </c>
      <c r="AP73" s="108">
        <f t="shared" si="549"/>
        <v>0.14998218738867117</v>
      </c>
      <c r="AQ73" s="107">
        <f t="shared" si="550"/>
        <v>10967</v>
      </c>
      <c r="AR73" s="107">
        <f t="shared" si="551"/>
        <v>633</v>
      </c>
      <c r="AS73" s="108">
        <f t="shared" si="552"/>
        <v>5.7718610376584295E-2</v>
      </c>
      <c r="AT73" s="107">
        <f t="shared" si="553"/>
        <v>6089</v>
      </c>
      <c r="AU73" s="108">
        <f t="shared" si="554"/>
        <v>0.55521108780888118</v>
      </c>
      <c r="AV73" s="107">
        <f t="shared" si="555"/>
        <v>427</v>
      </c>
      <c r="AW73" s="108">
        <f t="shared" si="556"/>
        <v>3.8934986778517373E-2</v>
      </c>
      <c r="AX73" s="107">
        <f t="shared" si="557"/>
        <v>2130</v>
      </c>
      <c r="AY73" s="108">
        <f t="shared" si="558"/>
        <v>0.19421902069845901</v>
      </c>
      <c r="AZ73" s="107">
        <f t="shared" si="559"/>
        <v>1688</v>
      </c>
      <c r="BA73" s="108">
        <f t="shared" si="560"/>
        <v>0.15391629433755813</v>
      </c>
      <c r="BB73" s="111">
        <v>4814</v>
      </c>
      <c r="BC73" s="111">
        <v>1503</v>
      </c>
      <c r="BD73" s="152">
        <f t="shared" si="561"/>
        <v>0.31221437474034069</v>
      </c>
      <c r="BE73" s="111">
        <v>5416</v>
      </c>
      <c r="BF73" s="111">
        <v>1574</v>
      </c>
      <c r="BG73" s="152">
        <f t="shared" si="524"/>
        <v>0.29062038404726737</v>
      </c>
      <c r="BH73" s="153">
        <f t="shared" si="562"/>
        <v>10230</v>
      </c>
      <c r="BI73" s="153">
        <f t="shared" si="563"/>
        <v>3077</v>
      </c>
      <c r="BJ73" s="154">
        <f t="shared" si="564"/>
        <v>0.30078201368523949</v>
      </c>
      <c r="BK73" s="107">
        <v>10967</v>
      </c>
      <c r="BL73" s="107">
        <v>3062</v>
      </c>
      <c r="BM73" s="108">
        <f t="shared" si="565"/>
        <v>0.27920124008388802</v>
      </c>
      <c r="BN73" s="107">
        <v>5353</v>
      </c>
      <c r="BO73" s="107">
        <v>1097</v>
      </c>
      <c r="BP73" s="108">
        <f t="shared" si="566"/>
        <v>0.2049318139361106</v>
      </c>
      <c r="BQ73" s="107">
        <v>5614</v>
      </c>
      <c r="BR73" s="107">
        <v>1965</v>
      </c>
      <c r="BS73" s="108">
        <f t="shared" si="567"/>
        <v>0.3500178126113288</v>
      </c>
      <c r="BT73" s="113">
        <v>51171</v>
      </c>
      <c r="BU73" s="113">
        <v>11451</v>
      </c>
      <c r="BV73" s="156">
        <f t="shared" si="568"/>
        <v>0.22377909362724982</v>
      </c>
      <c r="BW73" s="156">
        <f t="shared" si="569"/>
        <v>1</v>
      </c>
      <c r="BX73" s="113">
        <v>47458</v>
      </c>
      <c r="BY73" s="113">
        <v>11162</v>
      </c>
      <c r="BZ73" s="156">
        <f t="shared" si="570"/>
        <v>0.23519743773441781</v>
      </c>
      <c r="CA73" s="156">
        <f t="shared" si="571"/>
        <v>0.97476202951707269</v>
      </c>
      <c r="CB73" s="113">
        <v>302</v>
      </c>
      <c r="CC73" s="113">
        <v>19</v>
      </c>
      <c r="CD73" s="156">
        <f t="shared" si="572"/>
        <v>6.2913907284768214E-2</v>
      </c>
      <c r="CE73" s="156">
        <f t="shared" si="619"/>
        <v>1.659243734171688E-3</v>
      </c>
      <c r="CF73" s="113">
        <v>357</v>
      </c>
      <c r="CG73" s="113">
        <v>47</v>
      </c>
      <c r="CH73" s="156">
        <f t="shared" si="573"/>
        <v>0.13165266106442577</v>
      </c>
      <c r="CI73" s="156">
        <f t="shared" si="574"/>
        <v>4.1044450266352287E-3</v>
      </c>
      <c r="CJ73" s="113">
        <v>295</v>
      </c>
      <c r="CK73" s="113">
        <v>45</v>
      </c>
      <c r="CL73" s="161">
        <f t="shared" si="575"/>
        <v>0.15254237288135594</v>
      </c>
      <c r="CM73" s="156">
        <f t="shared" si="576"/>
        <v>3.9297877914592615E-3</v>
      </c>
      <c r="CN73" s="113">
        <v>10</v>
      </c>
      <c r="CO73" s="113">
        <v>3</v>
      </c>
      <c r="CP73" s="161">
        <f t="shared" si="577"/>
        <v>0.3</v>
      </c>
      <c r="CQ73" s="156">
        <f t="shared" si="578"/>
        <v>2.6198585276395077E-4</v>
      </c>
      <c r="CR73" s="105">
        <v>218</v>
      </c>
      <c r="CS73" s="105">
        <v>13</v>
      </c>
      <c r="CT73" s="106">
        <f t="shared" si="579"/>
        <v>5.9633027522935783E-2</v>
      </c>
      <c r="CU73" s="106">
        <f t="shared" si="580"/>
        <v>1.1352720286437867E-3</v>
      </c>
      <c r="CV73" s="113">
        <v>614</v>
      </c>
      <c r="CW73" s="113">
        <v>53</v>
      </c>
      <c r="CX73" s="156">
        <f t="shared" si="581"/>
        <v>8.6319218241042342E-2</v>
      </c>
      <c r="CY73" s="156">
        <f t="shared" si="582"/>
        <v>4.6284167321631303E-3</v>
      </c>
      <c r="CZ73" s="113">
        <v>2135</v>
      </c>
      <c r="DA73" s="113">
        <v>122</v>
      </c>
      <c r="DB73" s="156">
        <f t="shared" si="583"/>
        <v>5.7142857142857141E-2</v>
      </c>
      <c r="DC73" s="156">
        <f t="shared" si="584"/>
        <v>1.0654091345733996E-2</v>
      </c>
      <c r="DD73" s="107">
        <v>5353</v>
      </c>
      <c r="DE73" s="107">
        <v>460</v>
      </c>
      <c r="DF73" s="107">
        <v>2481</v>
      </c>
      <c r="DG73" s="107">
        <v>1490</v>
      </c>
      <c r="DH73" s="107">
        <v>922</v>
      </c>
      <c r="DI73" s="149">
        <f t="shared" si="585"/>
        <v>8.5933121614048202E-2</v>
      </c>
      <c r="DJ73" s="149">
        <f t="shared" si="586"/>
        <v>0.4634784233140295</v>
      </c>
      <c r="DK73" s="149">
        <f t="shared" si="587"/>
        <v>0.4505884550719223</v>
      </c>
      <c r="DL73" s="107">
        <v>5614</v>
      </c>
      <c r="DM73" s="107">
        <v>398</v>
      </c>
      <c r="DN73" s="107">
        <v>2911</v>
      </c>
      <c r="DO73" s="107">
        <v>1336</v>
      </c>
      <c r="DP73" s="107">
        <v>969</v>
      </c>
      <c r="DQ73" s="149">
        <f t="shared" si="588"/>
        <v>7.08941930887068E-2</v>
      </c>
      <c r="DR73" s="149">
        <f t="shared" si="589"/>
        <v>0.51852511578197369</v>
      </c>
      <c r="DS73" s="149">
        <f t="shared" si="590"/>
        <v>0.41058069112931955</v>
      </c>
      <c r="DT73" s="107">
        <f t="shared" si="591"/>
        <v>10967</v>
      </c>
      <c r="DU73" s="107">
        <f t="shared" si="592"/>
        <v>858</v>
      </c>
      <c r="DV73" s="107">
        <f t="shared" si="593"/>
        <v>5392</v>
      </c>
      <c r="DW73" s="107">
        <f t="shared" si="594"/>
        <v>2826</v>
      </c>
      <c r="DX73" s="107">
        <f t="shared" si="595"/>
        <v>1891</v>
      </c>
      <c r="DY73" s="108">
        <f t="shared" si="596"/>
        <v>7.8234704112337017E-2</v>
      </c>
      <c r="DZ73" s="108">
        <f t="shared" si="597"/>
        <v>0.49165678854746059</v>
      </c>
      <c r="EA73" s="108">
        <f t="shared" si="598"/>
        <v>0.43010850734020245</v>
      </c>
      <c r="EB73" s="107">
        <v>6963</v>
      </c>
      <c r="EC73" s="110">
        <v>852</v>
      </c>
      <c r="ED73" s="108">
        <f t="shared" si="599"/>
        <v>0.12236105127100388</v>
      </c>
      <c r="EE73" s="107">
        <v>1622</v>
      </c>
      <c r="EF73" s="108">
        <f t="shared" si="599"/>
        <v>0.23294556943846043</v>
      </c>
      <c r="EG73" s="107">
        <v>2657</v>
      </c>
      <c r="EH73" s="108">
        <f t="shared" ref="EH73" si="641">EG73/$EB73</f>
        <v>0.3815883958064053</v>
      </c>
      <c r="EI73" s="107">
        <v>3598</v>
      </c>
      <c r="EJ73" s="108">
        <f t="shared" ref="EJ73" si="642">EI73/$EB73</f>
        <v>0.51673129398247886</v>
      </c>
      <c r="EK73" s="107">
        <v>4873</v>
      </c>
      <c r="EL73" s="108">
        <f t="shared" ref="EL73" si="643">EK73/$EB73</f>
        <v>0.69984202211690361</v>
      </c>
      <c r="EM73" s="107">
        <v>5677</v>
      </c>
      <c r="EN73" s="108">
        <f t="shared" ref="EN73" si="644">EM73/$EB73</f>
        <v>0.81530949303461153</v>
      </c>
      <c r="EO73" s="163">
        <v>72830</v>
      </c>
      <c r="EP73" s="163">
        <v>61630</v>
      </c>
      <c r="EQ73" s="163">
        <v>92886</v>
      </c>
      <c r="ER73" s="163">
        <v>83459</v>
      </c>
      <c r="ES73" s="163">
        <v>47287</v>
      </c>
      <c r="ET73" s="107">
        <v>4814</v>
      </c>
      <c r="EU73" s="107">
        <v>529</v>
      </c>
      <c r="EV73" s="108">
        <f t="shared" si="604"/>
        <v>0.10988782717075198</v>
      </c>
      <c r="EW73" s="107">
        <v>5416</v>
      </c>
      <c r="EX73" s="107">
        <v>757</v>
      </c>
      <c r="EY73" s="108">
        <f t="shared" si="605"/>
        <v>0.13977104874446086</v>
      </c>
      <c r="EZ73" s="107">
        <f t="shared" si="606"/>
        <v>10230</v>
      </c>
      <c r="FA73" s="107">
        <f t="shared" si="607"/>
        <v>1286</v>
      </c>
      <c r="FB73" s="108">
        <f t="shared" si="608"/>
        <v>0.12570869990224828</v>
      </c>
      <c r="FC73" s="107">
        <v>10230</v>
      </c>
      <c r="FD73" s="107">
        <v>1286</v>
      </c>
      <c r="FE73" s="108">
        <f t="shared" si="609"/>
        <v>0.12570869990224828</v>
      </c>
      <c r="FF73" s="107">
        <v>2170</v>
      </c>
      <c r="FG73" s="108">
        <f t="shared" si="609"/>
        <v>0.21212121212121213</v>
      </c>
      <c r="FH73" s="107">
        <v>3024</v>
      </c>
      <c r="FI73" s="108">
        <f t="shared" ref="FI73" si="645">FH73/$FC73</f>
        <v>0.29560117302052785</v>
      </c>
      <c r="FJ73" s="107">
        <v>3452</v>
      </c>
      <c r="FK73" s="108">
        <f t="shared" ref="FK73" si="646">FJ73/$FC73</f>
        <v>0.33743890518084069</v>
      </c>
      <c r="FL73" s="107">
        <v>5138</v>
      </c>
      <c r="FM73" s="108">
        <f t="shared" ref="FM73" si="647">FL73/$FC73</f>
        <v>0.50224828934506349</v>
      </c>
      <c r="FN73" s="107">
        <v>735</v>
      </c>
      <c r="FO73" s="108">
        <v>0.22118567559434246</v>
      </c>
      <c r="FP73" s="107">
        <v>18</v>
      </c>
      <c r="FQ73" s="108">
        <v>5.4167920553716518E-3</v>
      </c>
      <c r="FR73" s="107">
        <v>140</v>
      </c>
      <c r="FS73" s="108">
        <v>6.8965517241379309E-2</v>
      </c>
      <c r="FT73" s="110">
        <v>0</v>
      </c>
      <c r="FU73" s="108">
        <v>0</v>
      </c>
      <c r="FV73" s="107">
        <v>518</v>
      </c>
      <c r="FW73" s="108">
        <v>0.16012364760432768</v>
      </c>
      <c r="FX73" s="107">
        <v>16</v>
      </c>
      <c r="FY73" s="108">
        <v>4.9459041731066463E-3</v>
      </c>
      <c r="FZ73" s="107">
        <v>110</v>
      </c>
      <c r="GA73" s="108">
        <v>4.6237915090374108E-2</v>
      </c>
      <c r="GB73" s="107">
        <v>0</v>
      </c>
      <c r="GC73" s="108">
        <v>0</v>
      </c>
      <c r="GD73" s="107">
        <v>1503</v>
      </c>
      <c r="GE73" s="117">
        <v>0.13704750615482811</v>
      </c>
      <c r="GF73" s="107">
        <v>34</v>
      </c>
      <c r="GG73" s="117">
        <v>3.1002097200692989E-3</v>
      </c>
      <c r="GH73" s="107">
        <v>6963</v>
      </c>
      <c r="GI73" s="107">
        <v>1654</v>
      </c>
      <c r="GJ73" s="108">
        <f t="shared" si="613"/>
        <v>0.2375412896739911</v>
      </c>
      <c r="GK73" s="107">
        <v>484</v>
      </c>
      <c r="GL73" s="108">
        <f t="shared" si="614"/>
        <v>0.29262394195888752</v>
      </c>
      <c r="GM73" s="107">
        <v>969</v>
      </c>
      <c r="GN73" s="108">
        <f t="shared" si="615"/>
        <v>0.58585247883917779</v>
      </c>
      <c r="GO73" s="107">
        <v>5309</v>
      </c>
      <c r="GP73" s="108">
        <f t="shared" si="616"/>
        <v>0.76245871032600887</v>
      </c>
      <c r="GQ73" s="107">
        <v>3909</v>
      </c>
      <c r="GR73" s="108">
        <f t="shared" si="617"/>
        <v>0.7362968543981917</v>
      </c>
      <c r="GS73" s="107">
        <v>1384</v>
      </c>
      <c r="GT73" s="108">
        <f t="shared" si="618"/>
        <v>0.26068939536635899</v>
      </c>
    </row>
    <row r="74" spans="1:202" x14ac:dyDescent="0.25">
      <c r="A74" s="104" t="s">
        <v>245</v>
      </c>
      <c r="B74" s="143">
        <v>24868</v>
      </c>
      <c r="C74" s="143">
        <v>8803</v>
      </c>
      <c r="D74" s="143">
        <v>6512</v>
      </c>
      <c r="E74" s="143">
        <v>2572</v>
      </c>
      <c r="F74" s="143">
        <v>526</v>
      </c>
      <c r="G74" s="144">
        <f t="shared" si="532"/>
        <v>0.35398906224867299</v>
      </c>
      <c r="H74" s="144">
        <f t="shared" si="533"/>
        <v>0.26186263471127552</v>
      </c>
      <c r="I74" s="144">
        <f t="shared" si="534"/>
        <v>0.10342608975390059</v>
      </c>
      <c r="J74" s="144">
        <f t="shared" si="535"/>
        <v>2.1151680875020108E-2</v>
      </c>
      <c r="K74" s="143">
        <v>3341</v>
      </c>
      <c r="L74" s="145">
        <f t="shared" si="536"/>
        <v>0.5130528255528255</v>
      </c>
      <c r="M74" s="143">
        <v>3171</v>
      </c>
      <c r="N74" s="145">
        <f t="shared" si="537"/>
        <v>0.48694717444717445</v>
      </c>
      <c r="O74" s="148">
        <v>50.2</v>
      </c>
      <c r="P74" s="107">
        <v>10586</v>
      </c>
      <c r="Q74" s="107">
        <v>5803</v>
      </c>
      <c r="R74" s="108">
        <f t="shared" si="538"/>
        <v>0.54817683733232569</v>
      </c>
      <c r="S74" s="107">
        <v>4523</v>
      </c>
      <c r="T74" s="149">
        <f t="shared" si="539"/>
        <v>0.42726242206688081</v>
      </c>
      <c r="U74" s="143">
        <v>3341</v>
      </c>
      <c r="V74" s="107">
        <v>184</v>
      </c>
      <c r="W74" s="108">
        <f t="shared" si="540"/>
        <v>5.5073331337922776E-2</v>
      </c>
      <c r="X74" s="107">
        <v>2123</v>
      </c>
      <c r="Y74" s="150">
        <f t="shared" si="541"/>
        <v>0.63543849146961984</v>
      </c>
      <c r="Z74" s="107">
        <v>157</v>
      </c>
      <c r="AA74" s="108">
        <f t="shared" si="542"/>
        <v>4.6991918587249326E-2</v>
      </c>
      <c r="AB74" s="107">
        <v>434</v>
      </c>
      <c r="AC74" s="108">
        <f t="shared" si="543"/>
        <v>0.12990122717749178</v>
      </c>
      <c r="AD74" s="107">
        <v>443</v>
      </c>
      <c r="AE74" s="108">
        <f t="shared" si="544"/>
        <v>0.13259503142771625</v>
      </c>
      <c r="AF74" s="107">
        <v>3171</v>
      </c>
      <c r="AG74" s="107">
        <v>80</v>
      </c>
      <c r="AH74" s="108">
        <f t="shared" si="545"/>
        <v>2.5228634500157679E-2</v>
      </c>
      <c r="AI74" s="107">
        <v>1656</v>
      </c>
      <c r="AJ74" s="108">
        <f t="shared" si="546"/>
        <v>0.52223273415326399</v>
      </c>
      <c r="AK74" s="107">
        <v>60</v>
      </c>
      <c r="AL74" s="108">
        <f t="shared" si="547"/>
        <v>1.8921475875118259E-2</v>
      </c>
      <c r="AM74" s="107">
        <v>1066</v>
      </c>
      <c r="AN74" s="108">
        <f t="shared" si="548"/>
        <v>0.33617155471460108</v>
      </c>
      <c r="AO74" s="107">
        <v>309</v>
      </c>
      <c r="AP74" s="108">
        <f t="shared" si="549"/>
        <v>9.7445600756859041E-2</v>
      </c>
      <c r="AQ74" s="107">
        <f t="shared" si="550"/>
        <v>6512</v>
      </c>
      <c r="AR74" s="107">
        <f t="shared" si="551"/>
        <v>264</v>
      </c>
      <c r="AS74" s="108">
        <f t="shared" si="552"/>
        <v>4.0540540540540543E-2</v>
      </c>
      <c r="AT74" s="107">
        <f t="shared" si="553"/>
        <v>3779</v>
      </c>
      <c r="AU74" s="108">
        <f t="shared" si="554"/>
        <v>0.58031326781326786</v>
      </c>
      <c r="AV74" s="107">
        <f t="shared" si="555"/>
        <v>217</v>
      </c>
      <c r="AW74" s="108">
        <f t="shared" si="556"/>
        <v>3.3323095823095825E-2</v>
      </c>
      <c r="AX74" s="107">
        <f t="shared" si="557"/>
        <v>1500</v>
      </c>
      <c r="AY74" s="108">
        <f t="shared" si="558"/>
        <v>0.23034398034398035</v>
      </c>
      <c r="AZ74" s="107">
        <f t="shared" si="559"/>
        <v>752</v>
      </c>
      <c r="BA74" s="108">
        <f t="shared" si="560"/>
        <v>0.11547911547911548</v>
      </c>
      <c r="BB74" s="111">
        <v>3276</v>
      </c>
      <c r="BC74" s="111">
        <v>1009</v>
      </c>
      <c r="BD74" s="152">
        <f t="shared" si="561"/>
        <v>0.30799755799755801</v>
      </c>
      <c r="BE74" s="111">
        <v>3119</v>
      </c>
      <c r="BF74" s="111">
        <v>846</v>
      </c>
      <c r="BG74" s="152">
        <f t="shared" si="524"/>
        <v>0.27124078230201987</v>
      </c>
      <c r="BH74" s="153">
        <f t="shared" si="562"/>
        <v>6395</v>
      </c>
      <c r="BI74" s="153">
        <f t="shared" si="563"/>
        <v>1855</v>
      </c>
      <c r="BJ74" s="154">
        <f t="shared" si="564"/>
        <v>0.29007036747458953</v>
      </c>
      <c r="BK74" s="107">
        <v>6512</v>
      </c>
      <c r="BL74" s="107">
        <v>1807</v>
      </c>
      <c r="BM74" s="108">
        <f t="shared" si="565"/>
        <v>0.27748771498771496</v>
      </c>
      <c r="BN74" s="107">
        <v>3341</v>
      </c>
      <c r="BO74" s="107">
        <v>852</v>
      </c>
      <c r="BP74" s="108">
        <f t="shared" si="566"/>
        <v>0.2550134690212511</v>
      </c>
      <c r="BQ74" s="107">
        <v>3171</v>
      </c>
      <c r="BR74" s="107">
        <v>955</v>
      </c>
      <c r="BS74" s="108">
        <f t="shared" si="567"/>
        <v>0.3011668243456323</v>
      </c>
      <c r="BT74" s="113">
        <v>25079</v>
      </c>
      <c r="BU74" s="113">
        <v>7005</v>
      </c>
      <c r="BV74" s="156">
        <f t="shared" si="568"/>
        <v>0.27931735715140155</v>
      </c>
      <c r="BW74" s="156">
        <f t="shared" si="569"/>
        <v>1</v>
      </c>
      <c r="BX74" s="113">
        <v>22130</v>
      </c>
      <c r="BY74" s="113">
        <v>6759</v>
      </c>
      <c r="BZ74" s="156">
        <f t="shared" si="570"/>
        <v>0.30542250338906463</v>
      </c>
      <c r="CA74" s="156">
        <f t="shared" si="571"/>
        <v>0.96488222698072801</v>
      </c>
      <c r="CB74" s="113">
        <v>544</v>
      </c>
      <c r="CC74" s="113">
        <v>19</v>
      </c>
      <c r="CD74" s="156">
        <f t="shared" si="572"/>
        <v>3.4926470588235295E-2</v>
      </c>
      <c r="CE74" s="156">
        <f t="shared" si="619"/>
        <v>2.7123483226266952E-3</v>
      </c>
      <c r="CF74" s="113">
        <v>149</v>
      </c>
      <c r="CG74" s="113">
        <v>30</v>
      </c>
      <c r="CH74" s="156">
        <f t="shared" si="573"/>
        <v>0.20134228187919462</v>
      </c>
      <c r="CI74" s="156">
        <f t="shared" si="574"/>
        <v>4.2826552462526769E-3</v>
      </c>
      <c r="CJ74" s="113">
        <v>160</v>
      </c>
      <c r="CK74" s="113">
        <v>20</v>
      </c>
      <c r="CL74" s="161">
        <f t="shared" si="575"/>
        <v>0.125</v>
      </c>
      <c r="CM74" s="156">
        <f t="shared" si="576"/>
        <v>2.8551034975017845E-3</v>
      </c>
      <c r="CN74" s="113">
        <v>22</v>
      </c>
      <c r="CO74" s="113">
        <v>2</v>
      </c>
      <c r="CP74" s="161">
        <f t="shared" si="577"/>
        <v>9.0909090909090912E-2</v>
      </c>
      <c r="CQ74" s="156">
        <f t="shared" si="578"/>
        <v>2.8551034975017847E-4</v>
      </c>
      <c r="CR74" s="105">
        <v>400</v>
      </c>
      <c r="CS74" s="105">
        <v>12</v>
      </c>
      <c r="CT74" s="106">
        <f t="shared" si="579"/>
        <v>0.03</v>
      </c>
      <c r="CU74" s="106">
        <f t="shared" si="580"/>
        <v>1.7130620985010706E-3</v>
      </c>
      <c r="CV74" s="113">
        <v>300</v>
      </c>
      <c r="CW74" s="113">
        <v>45</v>
      </c>
      <c r="CX74" s="156">
        <f t="shared" si="581"/>
        <v>0.15</v>
      </c>
      <c r="CY74" s="156">
        <f t="shared" si="582"/>
        <v>6.4239828693790149E-3</v>
      </c>
      <c r="CZ74" s="113">
        <v>1774</v>
      </c>
      <c r="DA74" s="113">
        <v>130</v>
      </c>
      <c r="DB74" s="156">
        <f t="shared" si="583"/>
        <v>7.3280721533258167E-2</v>
      </c>
      <c r="DC74" s="156">
        <f t="shared" si="584"/>
        <v>1.8558172733761598E-2</v>
      </c>
      <c r="DD74" s="107">
        <v>3341</v>
      </c>
      <c r="DE74" s="107">
        <v>354</v>
      </c>
      <c r="DF74" s="107">
        <v>1422</v>
      </c>
      <c r="DG74" s="107">
        <v>897</v>
      </c>
      <c r="DH74" s="107">
        <v>668</v>
      </c>
      <c r="DI74" s="149">
        <f t="shared" si="585"/>
        <v>0.10595630050882969</v>
      </c>
      <c r="DJ74" s="149">
        <f t="shared" si="586"/>
        <v>0.42562107153546841</v>
      </c>
      <c r="DK74" s="149">
        <f t="shared" si="587"/>
        <v>0.46842262795570189</v>
      </c>
      <c r="DL74" s="107">
        <v>3171</v>
      </c>
      <c r="DM74" s="107">
        <v>328</v>
      </c>
      <c r="DN74" s="107">
        <v>1315</v>
      </c>
      <c r="DO74" s="107">
        <v>974</v>
      </c>
      <c r="DP74" s="107">
        <v>554</v>
      </c>
      <c r="DQ74" s="149">
        <f t="shared" si="588"/>
        <v>0.10343740145064649</v>
      </c>
      <c r="DR74" s="149">
        <f t="shared" si="589"/>
        <v>0.41469567959634185</v>
      </c>
      <c r="DS74" s="149">
        <f t="shared" si="590"/>
        <v>0.48186691895301165</v>
      </c>
      <c r="DT74" s="107">
        <f t="shared" si="591"/>
        <v>6512</v>
      </c>
      <c r="DU74" s="107">
        <f t="shared" si="592"/>
        <v>682</v>
      </c>
      <c r="DV74" s="107">
        <f t="shared" si="593"/>
        <v>2737</v>
      </c>
      <c r="DW74" s="107">
        <f t="shared" si="594"/>
        <v>1871</v>
      </c>
      <c r="DX74" s="107">
        <f t="shared" si="595"/>
        <v>1222</v>
      </c>
      <c r="DY74" s="108">
        <f t="shared" si="596"/>
        <v>0.10472972972972973</v>
      </c>
      <c r="DZ74" s="108">
        <f t="shared" si="597"/>
        <v>0.42030098280098283</v>
      </c>
      <c r="EA74" s="108">
        <f t="shared" si="598"/>
        <v>0.47496928746928746</v>
      </c>
      <c r="EB74" s="107">
        <v>4138</v>
      </c>
      <c r="EC74" s="110">
        <v>342</v>
      </c>
      <c r="ED74" s="108">
        <f t="shared" si="599"/>
        <v>8.2648622522957946E-2</v>
      </c>
      <c r="EE74" s="107">
        <v>784</v>
      </c>
      <c r="EF74" s="108">
        <f t="shared" si="599"/>
        <v>0.18946350894151764</v>
      </c>
      <c r="EG74" s="107">
        <v>1403</v>
      </c>
      <c r="EH74" s="108">
        <f t="shared" ref="EH74" si="648">EG74/$EB74</f>
        <v>0.33905268245529241</v>
      </c>
      <c r="EI74" s="107">
        <v>2136</v>
      </c>
      <c r="EJ74" s="108">
        <f t="shared" ref="EJ74" si="649">EI74/$EB74</f>
        <v>0.51619139681005322</v>
      </c>
      <c r="EK74" s="107">
        <v>2948</v>
      </c>
      <c r="EL74" s="108">
        <f t="shared" ref="EL74" si="650">EK74/$EB74</f>
        <v>0.71242145964233927</v>
      </c>
      <c r="EM74" s="107">
        <v>3433</v>
      </c>
      <c r="EN74" s="108">
        <f t="shared" ref="EN74" si="651">EM74/$EB74</f>
        <v>0.82962783953600772</v>
      </c>
      <c r="EO74" s="163">
        <v>67107</v>
      </c>
      <c r="EP74" s="163">
        <v>50417</v>
      </c>
      <c r="EQ74" s="163">
        <v>84392</v>
      </c>
      <c r="ER74" s="163">
        <v>81042</v>
      </c>
      <c r="ES74" s="163">
        <v>48768</v>
      </c>
      <c r="ET74" s="107">
        <v>3276</v>
      </c>
      <c r="EU74" s="107">
        <v>220</v>
      </c>
      <c r="EV74" s="108">
        <f t="shared" si="604"/>
        <v>6.7155067155067152E-2</v>
      </c>
      <c r="EW74" s="107">
        <v>3119</v>
      </c>
      <c r="EX74" s="107">
        <v>358</v>
      </c>
      <c r="EY74" s="108">
        <f t="shared" si="605"/>
        <v>0.11478037832638666</v>
      </c>
      <c r="EZ74" s="107">
        <f t="shared" si="606"/>
        <v>6395</v>
      </c>
      <c r="FA74" s="107">
        <f t="shared" si="607"/>
        <v>578</v>
      </c>
      <c r="FB74" s="108">
        <f t="shared" si="608"/>
        <v>9.0383111806098509E-2</v>
      </c>
      <c r="FC74" s="107">
        <v>6395</v>
      </c>
      <c r="FD74" s="107">
        <v>578</v>
      </c>
      <c r="FE74" s="108">
        <f t="shared" si="609"/>
        <v>9.0383111806098509E-2</v>
      </c>
      <c r="FF74" s="107">
        <v>1052</v>
      </c>
      <c r="FG74" s="108">
        <f t="shared" si="609"/>
        <v>0.16450351837372948</v>
      </c>
      <c r="FH74" s="107">
        <v>1516</v>
      </c>
      <c r="FI74" s="108">
        <f t="shared" ref="FI74" si="652">FH74/$FC74</f>
        <v>0.23706020328381547</v>
      </c>
      <c r="FJ74" s="107">
        <v>1842</v>
      </c>
      <c r="FK74" s="108">
        <f t="shared" ref="FK74" si="653">FJ74/$FC74</f>
        <v>0.2880375293197811</v>
      </c>
      <c r="FL74" s="107">
        <v>3180</v>
      </c>
      <c r="FM74" s="108">
        <f t="shared" ref="FM74" si="654">FL74/$FC74</f>
        <v>0.49726348709929635</v>
      </c>
      <c r="FN74" s="107">
        <v>374</v>
      </c>
      <c r="FO74" s="108">
        <v>0.17658168083097261</v>
      </c>
      <c r="FP74" s="107">
        <v>7</v>
      </c>
      <c r="FQ74" s="108">
        <v>3.3050047214353163E-3</v>
      </c>
      <c r="FR74" s="107">
        <v>111</v>
      </c>
      <c r="FS74" s="108">
        <v>9.0760425183973828E-2</v>
      </c>
      <c r="FT74" s="110">
        <v>6</v>
      </c>
      <c r="FU74" s="108">
        <v>4.9059689288634507E-3</v>
      </c>
      <c r="FV74" s="107">
        <v>316</v>
      </c>
      <c r="FW74" s="108">
        <v>0.17343578485181119</v>
      </c>
      <c r="FX74" s="107">
        <v>3</v>
      </c>
      <c r="FY74" s="108">
        <v>1.6465422612513721E-3</v>
      </c>
      <c r="FZ74" s="107">
        <v>51</v>
      </c>
      <c r="GA74" s="108">
        <v>3.7805782060785768E-2</v>
      </c>
      <c r="GB74" s="107">
        <v>0</v>
      </c>
      <c r="GC74" s="108">
        <v>0</v>
      </c>
      <c r="GD74" s="107">
        <v>852</v>
      </c>
      <c r="GE74" s="117">
        <v>0.13083538083538085</v>
      </c>
      <c r="GF74" s="107">
        <v>16</v>
      </c>
      <c r="GG74" s="117">
        <v>2.4570024570024569E-3</v>
      </c>
      <c r="GH74" s="107">
        <v>4138</v>
      </c>
      <c r="GI74" s="107">
        <v>476</v>
      </c>
      <c r="GJ74" s="108">
        <f t="shared" si="613"/>
        <v>0.11503141614306428</v>
      </c>
      <c r="GK74" s="107">
        <v>182</v>
      </c>
      <c r="GL74" s="108">
        <f t="shared" si="614"/>
        <v>0.38235294117647056</v>
      </c>
      <c r="GM74" s="107">
        <v>224</v>
      </c>
      <c r="GN74" s="108">
        <f t="shared" si="615"/>
        <v>0.47058823529411764</v>
      </c>
      <c r="GO74" s="107">
        <v>3662</v>
      </c>
      <c r="GP74" s="108">
        <f t="shared" si="616"/>
        <v>0.88496858385693566</v>
      </c>
      <c r="GQ74" s="107">
        <v>2739</v>
      </c>
      <c r="GR74" s="108">
        <f t="shared" si="617"/>
        <v>0.74795193883123978</v>
      </c>
      <c r="GS74" s="107">
        <v>913</v>
      </c>
      <c r="GT74" s="108">
        <f t="shared" si="618"/>
        <v>0.24931731294374659</v>
      </c>
    </row>
    <row r="75" spans="1:202" x14ac:dyDescent="0.25">
      <c r="A75" s="104" t="s">
        <v>246</v>
      </c>
      <c r="B75" s="143">
        <v>171769</v>
      </c>
      <c r="C75" s="143">
        <v>41477</v>
      </c>
      <c r="D75" s="143">
        <v>29894</v>
      </c>
      <c r="E75" s="143">
        <v>12299</v>
      </c>
      <c r="F75" s="143">
        <v>3725</v>
      </c>
      <c r="G75" s="144">
        <f t="shared" si="532"/>
        <v>0.24146964819030209</v>
      </c>
      <c r="H75" s="144">
        <f t="shared" si="533"/>
        <v>0.17403606005740269</v>
      </c>
      <c r="I75" s="144">
        <f t="shared" si="534"/>
        <v>7.1601977073860831E-2</v>
      </c>
      <c r="J75" s="144">
        <f t="shared" si="535"/>
        <v>2.168610168307436E-2</v>
      </c>
      <c r="K75" s="146">
        <v>13700</v>
      </c>
      <c r="L75" s="145">
        <f t="shared" si="536"/>
        <v>0.45828594366762559</v>
      </c>
      <c r="M75" s="146">
        <v>16194</v>
      </c>
      <c r="N75" s="145">
        <f t="shared" si="537"/>
        <v>0.54171405633237435</v>
      </c>
      <c r="O75" s="148">
        <v>38.700000000000003</v>
      </c>
      <c r="P75" s="107">
        <v>72667</v>
      </c>
      <c r="Q75" s="107">
        <v>29056</v>
      </c>
      <c r="R75" s="108">
        <f t="shared" si="538"/>
        <v>0.39985137682854666</v>
      </c>
      <c r="S75" s="107">
        <v>21757</v>
      </c>
      <c r="T75" s="149">
        <f t="shared" si="539"/>
        <v>0.29940688345466304</v>
      </c>
      <c r="U75" s="143">
        <v>13700</v>
      </c>
      <c r="V75" s="107">
        <v>943</v>
      </c>
      <c r="W75" s="108">
        <f t="shared" si="540"/>
        <v>6.8832116788321171E-2</v>
      </c>
      <c r="X75" s="107">
        <v>9255</v>
      </c>
      <c r="Y75" s="150">
        <f t="shared" si="541"/>
        <v>0.6755474452554745</v>
      </c>
      <c r="Z75" s="107">
        <v>366</v>
      </c>
      <c r="AA75" s="108">
        <f t="shared" si="542"/>
        <v>2.6715328467153285E-2</v>
      </c>
      <c r="AB75" s="107">
        <v>1318</v>
      </c>
      <c r="AC75" s="108">
        <f t="shared" si="543"/>
        <v>9.6204379562043793E-2</v>
      </c>
      <c r="AD75" s="107">
        <v>1818</v>
      </c>
      <c r="AE75" s="108">
        <f t="shared" si="544"/>
        <v>0.13270072992700729</v>
      </c>
      <c r="AF75" s="107">
        <v>16194</v>
      </c>
      <c r="AG75" s="107">
        <v>962</v>
      </c>
      <c r="AH75" s="108">
        <f t="shared" si="545"/>
        <v>5.9404717796714836E-2</v>
      </c>
      <c r="AI75" s="107">
        <v>7010</v>
      </c>
      <c r="AJ75" s="108">
        <f t="shared" si="546"/>
        <v>0.43287637396566631</v>
      </c>
      <c r="AK75" s="107">
        <v>503</v>
      </c>
      <c r="AL75" s="108">
        <f t="shared" si="547"/>
        <v>3.1060886748178338E-2</v>
      </c>
      <c r="AM75" s="107">
        <v>5079</v>
      </c>
      <c r="AN75" s="108">
        <f t="shared" si="548"/>
        <v>0.31363467951092999</v>
      </c>
      <c r="AO75" s="107">
        <v>2640</v>
      </c>
      <c r="AP75" s="108">
        <f t="shared" si="549"/>
        <v>0.16302334197851057</v>
      </c>
      <c r="AQ75" s="107">
        <f t="shared" si="550"/>
        <v>29894</v>
      </c>
      <c r="AR75" s="107">
        <f t="shared" si="551"/>
        <v>1905</v>
      </c>
      <c r="AS75" s="108">
        <f t="shared" si="552"/>
        <v>6.3725162239914368E-2</v>
      </c>
      <c r="AT75" s="107">
        <f t="shared" si="553"/>
        <v>16265</v>
      </c>
      <c r="AU75" s="108">
        <f t="shared" si="554"/>
        <v>0.54408911487254963</v>
      </c>
      <c r="AV75" s="107">
        <f t="shared" si="555"/>
        <v>869</v>
      </c>
      <c r="AW75" s="108">
        <f t="shared" si="556"/>
        <v>2.9069378470596107E-2</v>
      </c>
      <c r="AX75" s="107">
        <f t="shared" si="557"/>
        <v>6397</v>
      </c>
      <c r="AY75" s="108">
        <f t="shared" si="558"/>
        <v>0.21398942931691978</v>
      </c>
      <c r="AZ75" s="107">
        <f t="shared" si="559"/>
        <v>4458</v>
      </c>
      <c r="BA75" s="108">
        <f t="shared" si="560"/>
        <v>0.14912691510002007</v>
      </c>
      <c r="BB75" s="111">
        <v>13319</v>
      </c>
      <c r="BC75" s="111">
        <v>4217</v>
      </c>
      <c r="BD75" s="152">
        <f t="shared" si="561"/>
        <v>0.31661536151362712</v>
      </c>
      <c r="BE75" s="111">
        <v>15782</v>
      </c>
      <c r="BF75" s="111">
        <v>5084</v>
      </c>
      <c r="BG75" s="152">
        <f t="shared" si="524"/>
        <v>0.32213914586237485</v>
      </c>
      <c r="BH75" s="153">
        <f t="shared" si="562"/>
        <v>29101</v>
      </c>
      <c r="BI75" s="153">
        <f t="shared" si="563"/>
        <v>9301</v>
      </c>
      <c r="BJ75" s="154">
        <f t="shared" si="564"/>
        <v>0.31961100993093022</v>
      </c>
      <c r="BK75" s="107">
        <v>29894</v>
      </c>
      <c r="BL75" s="107">
        <v>9603</v>
      </c>
      <c r="BM75" s="108">
        <f t="shared" si="565"/>
        <v>0.32123503044089113</v>
      </c>
      <c r="BN75" s="107">
        <v>13700</v>
      </c>
      <c r="BO75" s="107">
        <v>2933</v>
      </c>
      <c r="BP75" s="108">
        <f t="shared" si="566"/>
        <v>0.21408759124087592</v>
      </c>
      <c r="BQ75" s="107">
        <v>16194</v>
      </c>
      <c r="BR75" s="107">
        <v>6670</v>
      </c>
      <c r="BS75" s="108">
        <f t="shared" si="567"/>
        <v>0.41188094355934296</v>
      </c>
      <c r="BT75" s="113">
        <v>173307</v>
      </c>
      <c r="BU75" s="113">
        <v>31772</v>
      </c>
      <c r="BV75" s="156">
        <f t="shared" si="568"/>
        <v>0.18332785173132071</v>
      </c>
      <c r="BW75" s="156">
        <f t="shared" si="569"/>
        <v>1</v>
      </c>
      <c r="BX75" s="113">
        <v>147865</v>
      </c>
      <c r="BY75" s="113">
        <v>30533</v>
      </c>
      <c r="BZ75" s="156">
        <f t="shared" si="570"/>
        <v>0.20649240861596727</v>
      </c>
      <c r="CA75" s="156">
        <f t="shared" si="571"/>
        <v>0.96100339921943845</v>
      </c>
      <c r="CB75" s="113">
        <v>5339</v>
      </c>
      <c r="CC75" s="113">
        <v>177</v>
      </c>
      <c r="CD75" s="156">
        <f t="shared" si="572"/>
        <v>3.3152275707061245E-2</v>
      </c>
      <c r="CE75" s="156">
        <f t="shared" si="619"/>
        <v>5.570942968651643E-3</v>
      </c>
      <c r="CF75" s="113">
        <v>1077</v>
      </c>
      <c r="CG75" s="113">
        <v>154</v>
      </c>
      <c r="CH75" s="156">
        <f t="shared" si="573"/>
        <v>0.14298978644382543</v>
      </c>
      <c r="CI75" s="156">
        <f t="shared" si="574"/>
        <v>4.8470351252675311E-3</v>
      </c>
      <c r="CJ75" s="113">
        <v>6233</v>
      </c>
      <c r="CK75" s="113">
        <v>359</v>
      </c>
      <c r="CL75" s="161">
        <f t="shared" si="575"/>
        <v>5.7596662923150972E-2</v>
      </c>
      <c r="CM75" s="156">
        <f t="shared" si="576"/>
        <v>1.129925720760418E-2</v>
      </c>
      <c r="CN75" s="113">
        <v>94</v>
      </c>
      <c r="CO75" s="113">
        <v>6</v>
      </c>
      <c r="CP75" s="161">
        <f t="shared" si="577"/>
        <v>6.3829787234042548E-2</v>
      </c>
      <c r="CQ75" s="156">
        <f t="shared" si="578"/>
        <v>1.8884552436107264E-4</v>
      </c>
      <c r="CR75" s="105">
        <v>1333</v>
      </c>
      <c r="CS75" s="105">
        <v>15</v>
      </c>
      <c r="CT75" s="106">
        <f t="shared" si="579"/>
        <v>1.1252813203300824E-2</v>
      </c>
      <c r="CU75" s="106">
        <f t="shared" si="580"/>
        <v>4.7211381090268162E-4</v>
      </c>
      <c r="CV75" s="113">
        <v>3404</v>
      </c>
      <c r="CW75" s="113">
        <v>120</v>
      </c>
      <c r="CX75" s="156">
        <f t="shared" si="581"/>
        <v>3.5252643948296122E-2</v>
      </c>
      <c r="CY75" s="156">
        <f t="shared" si="582"/>
        <v>3.7769104872214529E-3</v>
      </c>
      <c r="CZ75" s="113">
        <v>9295</v>
      </c>
      <c r="DA75" s="113">
        <v>423</v>
      </c>
      <c r="DB75" s="156">
        <f t="shared" si="583"/>
        <v>4.5508337816030121E-2</v>
      </c>
      <c r="DC75" s="156">
        <f t="shared" si="584"/>
        <v>1.3313609467455622E-2</v>
      </c>
      <c r="DD75" s="107">
        <v>13700</v>
      </c>
      <c r="DE75" s="107">
        <v>1179</v>
      </c>
      <c r="DF75" s="107">
        <v>4753</v>
      </c>
      <c r="DG75" s="107">
        <v>4005</v>
      </c>
      <c r="DH75" s="107">
        <v>3763</v>
      </c>
      <c r="DI75" s="149">
        <f t="shared" si="585"/>
        <v>8.6058394160583945E-2</v>
      </c>
      <c r="DJ75" s="149">
        <f t="shared" si="586"/>
        <v>0.34693430656934304</v>
      </c>
      <c r="DK75" s="149">
        <f t="shared" si="587"/>
        <v>0.56700729927007298</v>
      </c>
      <c r="DL75" s="107">
        <v>16194</v>
      </c>
      <c r="DM75" s="107">
        <v>1172</v>
      </c>
      <c r="DN75" s="107">
        <v>6958</v>
      </c>
      <c r="DO75" s="107">
        <v>4420</v>
      </c>
      <c r="DP75" s="107">
        <v>3644</v>
      </c>
      <c r="DQ75" s="149">
        <f t="shared" si="588"/>
        <v>7.2372483635914531E-2</v>
      </c>
      <c r="DR75" s="149">
        <f t="shared" si="589"/>
        <v>0.42966530813881687</v>
      </c>
      <c r="DS75" s="149">
        <f t="shared" si="590"/>
        <v>0.4979622082252686</v>
      </c>
      <c r="DT75" s="107">
        <f t="shared" si="591"/>
        <v>29894</v>
      </c>
      <c r="DU75" s="107">
        <f t="shared" si="592"/>
        <v>2351</v>
      </c>
      <c r="DV75" s="107">
        <f t="shared" si="593"/>
        <v>11711</v>
      </c>
      <c r="DW75" s="107">
        <f t="shared" si="594"/>
        <v>8425</v>
      </c>
      <c r="DX75" s="107">
        <f t="shared" si="595"/>
        <v>7407</v>
      </c>
      <c r="DY75" s="108">
        <f t="shared" si="596"/>
        <v>7.8644544055663346E-2</v>
      </c>
      <c r="DZ75" s="108">
        <f t="shared" si="597"/>
        <v>0.39175085301398271</v>
      </c>
      <c r="EA75" s="108">
        <f t="shared" si="598"/>
        <v>0.52960460293035394</v>
      </c>
      <c r="EB75" s="107">
        <v>19818</v>
      </c>
      <c r="EC75" s="110">
        <v>1620</v>
      </c>
      <c r="ED75" s="108">
        <f t="shared" si="599"/>
        <v>8.1743869209809264E-2</v>
      </c>
      <c r="EE75" s="107">
        <v>3408</v>
      </c>
      <c r="EF75" s="108">
        <f t="shared" si="599"/>
        <v>0.1719648804117469</v>
      </c>
      <c r="EG75" s="107">
        <v>6484</v>
      </c>
      <c r="EH75" s="108">
        <f t="shared" ref="EH75" si="655">EG75/$EB75</f>
        <v>0.32717731355333535</v>
      </c>
      <c r="EI75" s="107">
        <v>9229</v>
      </c>
      <c r="EJ75" s="108">
        <f t="shared" ref="EJ75" si="656">EI75/$EB75</f>
        <v>0.46568775860328993</v>
      </c>
      <c r="EK75" s="107">
        <v>13077</v>
      </c>
      <c r="EL75" s="108">
        <f t="shared" ref="EL75" si="657">EK75/$EB75</f>
        <v>0.65985467756584926</v>
      </c>
      <c r="EM75" s="107">
        <v>15428</v>
      </c>
      <c r="EN75" s="108">
        <f t="shared" ref="EN75" si="658">EM75/$EB75</f>
        <v>0.77848420627712178</v>
      </c>
      <c r="EO75" s="163">
        <v>74925</v>
      </c>
      <c r="EP75" s="163">
        <v>44032</v>
      </c>
      <c r="EQ75" s="163">
        <v>88681</v>
      </c>
      <c r="ER75" s="163">
        <v>87901</v>
      </c>
      <c r="ES75" s="163">
        <v>53870</v>
      </c>
      <c r="ET75" s="107">
        <v>13319</v>
      </c>
      <c r="EU75" s="107">
        <v>820</v>
      </c>
      <c r="EV75" s="108">
        <f t="shared" si="604"/>
        <v>6.1566183647420974E-2</v>
      </c>
      <c r="EW75" s="107">
        <v>15782</v>
      </c>
      <c r="EX75" s="107">
        <v>1477</v>
      </c>
      <c r="EY75" s="108">
        <f t="shared" si="605"/>
        <v>9.3587631478900007E-2</v>
      </c>
      <c r="EZ75" s="107">
        <f t="shared" si="606"/>
        <v>29101</v>
      </c>
      <c r="FA75" s="107">
        <f t="shared" si="607"/>
        <v>2297</v>
      </c>
      <c r="FB75" s="108">
        <f t="shared" si="608"/>
        <v>7.8931995464073396E-2</v>
      </c>
      <c r="FC75" s="107">
        <v>29101</v>
      </c>
      <c r="FD75" s="107">
        <v>2297</v>
      </c>
      <c r="FE75" s="108">
        <f t="shared" si="609"/>
        <v>7.8931995464073396E-2</v>
      </c>
      <c r="FF75" s="107">
        <v>4227</v>
      </c>
      <c r="FG75" s="108">
        <f t="shared" si="609"/>
        <v>0.14525274045565445</v>
      </c>
      <c r="FH75" s="107">
        <v>6109</v>
      </c>
      <c r="FI75" s="108">
        <f t="shared" ref="FI75" si="659">FH75/$FC75</f>
        <v>0.20992405759252258</v>
      </c>
      <c r="FJ75" s="107">
        <v>7127</v>
      </c>
      <c r="FK75" s="108">
        <f t="shared" ref="FK75" si="660">FJ75/$FC75</f>
        <v>0.24490567334455859</v>
      </c>
      <c r="FL75" s="107">
        <v>13280</v>
      </c>
      <c r="FM75" s="108">
        <f t="shared" ref="FM75" si="661">FL75/$FC75</f>
        <v>0.45634170647056804</v>
      </c>
      <c r="FN75" s="107">
        <v>2051</v>
      </c>
      <c r="FO75" s="108">
        <v>0.24163524976437323</v>
      </c>
      <c r="FP75" s="107">
        <v>54</v>
      </c>
      <c r="FQ75" s="108">
        <v>6.3619227144203578E-3</v>
      </c>
      <c r="FR75" s="107">
        <v>318</v>
      </c>
      <c r="FS75" s="108">
        <v>6.1013046815042209E-2</v>
      </c>
      <c r="FT75" s="110">
        <v>16</v>
      </c>
      <c r="FU75" s="108">
        <v>3.0698388334612432E-3</v>
      </c>
      <c r="FV75" s="107">
        <v>1630</v>
      </c>
      <c r="FW75" s="108">
        <v>0.17898319973646645</v>
      </c>
      <c r="FX75" s="107">
        <v>161</v>
      </c>
      <c r="FY75" s="108">
        <v>1.7678708685626442E-2</v>
      </c>
      <c r="FZ75" s="107">
        <v>332</v>
      </c>
      <c r="GA75" s="108">
        <v>4.6846338366022297E-2</v>
      </c>
      <c r="GB75" s="107">
        <v>0</v>
      </c>
      <c r="GC75" s="108">
        <v>0</v>
      </c>
      <c r="GD75" s="107">
        <v>4331</v>
      </c>
      <c r="GE75" s="117">
        <v>0.14487857095069245</v>
      </c>
      <c r="GF75" s="107">
        <v>231</v>
      </c>
      <c r="GG75" s="117">
        <v>7.7273031377533951E-3</v>
      </c>
      <c r="GH75" s="107">
        <v>19818</v>
      </c>
      <c r="GI75" s="107">
        <v>5043</v>
      </c>
      <c r="GJ75" s="108">
        <f t="shared" si="613"/>
        <v>0.25446563729942479</v>
      </c>
      <c r="GK75" s="107">
        <v>1614</v>
      </c>
      <c r="GL75" s="108">
        <f>GK75/GI75</f>
        <v>0.32004759071980965</v>
      </c>
      <c r="GM75" s="107">
        <v>3208</v>
      </c>
      <c r="GN75" s="108">
        <f t="shared" si="615"/>
        <v>0.63612928812214953</v>
      </c>
      <c r="GO75" s="107">
        <v>14775</v>
      </c>
      <c r="GP75" s="108">
        <f t="shared" si="616"/>
        <v>0.74553436270057527</v>
      </c>
      <c r="GQ75" s="107">
        <v>11562</v>
      </c>
      <c r="GR75" s="108">
        <f t="shared" si="617"/>
        <v>0.78253807106598983</v>
      </c>
      <c r="GS75" s="107">
        <v>3017</v>
      </c>
      <c r="GT75" s="108">
        <f t="shared" si="618"/>
        <v>0.20419627749576988</v>
      </c>
    </row>
    <row r="76" spans="1:202" x14ac:dyDescent="0.25">
      <c r="A76" s="104" t="s">
        <v>247</v>
      </c>
      <c r="B76" s="143">
        <v>74004</v>
      </c>
      <c r="C76" s="143">
        <v>22141</v>
      </c>
      <c r="D76" s="143">
        <v>16124</v>
      </c>
      <c r="E76" s="143">
        <v>6846</v>
      </c>
      <c r="F76" s="143">
        <v>2397</v>
      </c>
      <c r="G76" s="144">
        <f t="shared" si="532"/>
        <v>0.29918653045781307</v>
      </c>
      <c r="H76" s="144">
        <f t="shared" si="533"/>
        <v>0.21788011458840062</v>
      </c>
      <c r="I76" s="144">
        <f t="shared" si="534"/>
        <v>9.2508513053348465E-2</v>
      </c>
      <c r="J76" s="144">
        <f t="shared" si="535"/>
        <v>3.2390141073455489E-2</v>
      </c>
      <c r="K76" s="143">
        <v>7485</v>
      </c>
      <c r="L76" s="145">
        <f t="shared" si="536"/>
        <v>0.46421483502852889</v>
      </c>
      <c r="M76" s="143">
        <v>8639</v>
      </c>
      <c r="N76" s="145">
        <f t="shared" si="537"/>
        <v>0.53578516497147111</v>
      </c>
      <c r="O76" s="148">
        <v>43.8</v>
      </c>
      <c r="P76" s="107">
        <v>32253</v>
      </c>
      <c r="Q76" s="107">
        <v>15026</v>
      </c>
      <c r="R76" s="108">
        <f t="shared" si="538"/>
        <v>0.46587914302545502</v>
      </c>
      <c r="S76" s="107">
        <v>11518</v>
      </c>
      <c r="T76" s="149">
        <f t="shared" si="539"/>
        <v>0.35711406690850461</v>
      </c>
      <c r="U76" s="143">
        <v>7485</v>
      </c>
      <c r="V76" s="107">
        <v>299</v>
      </c>
      <c r="W76" s="108">
        <f t="shared" si="540"/>
        <v>3.9946559786239143E-2</v>
      </c>
      <c r="X76" s="107">
        <v>5177</v>
      </c>
      <c r="Y76" s="150">
        <f t="shared" si="541"/>
        <v>0.69164996659986644</v>
      </c>
      <c r="Z76" s="107">
        <v>91</v>
      </c>
      <c r="AA76" s="108">
        <f t="shared" si="542"/>
        <v>1.2157648630594523E-2</v>
      </c>
      <c r="AB76" s="107">
        <v>863</v>
      </c>
      <c r="AC76" s="108">
        <f t="shared" si="543"/>
        <v>0.11529726118904475</v>
      </c>
      <c r="AD76" s="107">
        <v>1055</v>
      </c>
      <c r="AE76" s="108">
        <f t="shared" si="544"/>
        <v>0.14094856379425519</v>
      </c>
      <c r="AF76" s="107">
        <v>8639</v>
      </c>
      <c r="AG76" s="107">
        <v>336</v>
      </c>
      <c r="AH76" s="108">
        <f t="shared" si="545"/>
        <v>3.8893390438708181E-2</v>
      </c>
      <c r="AI76" s="107">
        <v>4068</v>
      </c>
      <c r="AJ76" s="108">
        <f t="shared" si="546"/>
        <v>0.47088783424007408</v>
      </c>
      <c r="AK76" s="107">
        <v>195</v>
      </c>
      <c r="AL76" s="108">
        <f t="shared" si="547"/>
        <v>2.2572056951036E-2</v>
      </c>
      <c r="AM76" s="107">
        <v>2613</v>
      </c>
      <c r="AN76" s="108">
        <f t="shared" si="548"/>
        <v>0.3024655631438824</v>
      </c>
      <c r="AO76" s="107">
        <v>1427</v>
      </c>
      <c r="AP76" s="108">
        <f t="shared" si="549"/>
        <v>0.16518115522629934</v>
      </c>
      <c r="AQ76" s="107">
        <f t="shared" si="550"/>
        <v>16124</v>
      </c>
      <c r="AR76" s="107">
        <f t="shared" si="551"/>
        <v>635</v>
      </c>
      <c r="AS76" s="108">
        <f t="shared" si="552"/>
        <v>3.9382287273629371E-2</v>
      </c>
      <c r="AT76" s="107">
        <f t="shared" si="553"/>
        <v>9245</v>
      </c>
      <c r="AU76" s="108">
        <f t="shared" si="554"/>
        <v>0.57336889109402134</v>
      </c>
      <c r="AV76" s="107">
        <f t="shared" si="555"/>
        <v>286</v>
      </c>
      <c r="AW76" s="108">
        <f t="shared" si="556"/>
        <v>1.7737534110642522E-2</v>
      </c>
      <c r="AX76" s="107">
        <f t="shared" si="557"/>
        <v>3476</v>
      </c>
      <c r="AY76" s="108">
        <f t="shared" si="558"/>
        <v>0.21557926072934755</v>
      </c>
      <c r="AZ76" s="107">
        <f t="shared" si="559"/>
        <v>2482</v>
      </c>
      <c r="BA76" s="108">
        <f t="shared" si="560"/>
        <v>0.15393202679235921</v>
      </c>
      <c r="BB76" s="111">
        <v>7398</v>
      </c>
      <c r="BC76" s="111">
        <v>2375</v>
      </c>
      <c r="BD76" s="152">
        <f t="shared" si="561"/>
        <v>0.32103271154366048</v>
      </c>
      <c r="BE76" s="111">
        <v>8400</v>
      </c>
      <c r="BF76" s="111">
        <v>2539</v>
      </c>
      <c r="BG76" s="152">
        <f t="shared" si="524"/>
        <v>0.30226190476190479</v>
      </c>
      <c r="BH76" s="153">
        <f t="shared" si="562"/>
        <v>15798</v>
      </c>
      <c r="BI76" s="153">
        <f t="shared" si="563"/>
        <v>4914</v>
      </c>
      <c r="BJ76" s="154">
        <f t="shared" si="564"/>
        <v>0.31105203190277253</v>
      </c>
      <c r="BK76" s="107">
        <v>16124</v>
      </c>
      <c r="BL76" s="107">
        <v>4699</v>
      </c>
      <c r="BM76" s="108">
        <f t="shared" si="565"/>
        <v>0.29142892582485735</v>
      </c>
      <c r="BN76" s="107">
        <v>7485</v>
      </c>
      <c r="BO76" s="107">
        <v>1578</v>
      </c>
      <c r="BP76" s="108">
        <f t="shared" si="566"/>
        <v>0.21082164328657316</v>
      </c>
      <c r="BQ76" s="107">
        <v>8639</v>
      </c>
      <c r="BR76" s="107">
        <v>3121</v>
      </c>
      <c r="BS76" s="108">
        <f t="shared" si="567"/>
        <v>0.36126866535478641</v>
      </c>
      <c r="BT76" s="113">
        <v>73943</v>
      </c>
      <c r="BU76" s="113">
        <v>17044</v>
      </c>
      <c r="BV76" s="156">
        <f t="shared" si="568"/>
        <v>0.23050187306438744</v>
      </c>
      <c r="BW76" s="156">
        <f t="shared" si="569"/>
        <v>1</v>
      </c>
      <c r="BX76" s="113">
        <v>66982</v>
      </c>
      <c r="BY76" s="113">
        <v>16537</v>
      </c>
      <c r="BZ76" s="156">
        <f t="shared" si="570"/>
        <v>0.24688722343316113</v>
      </c>
      <c r="CA76" s="156">
        <f t="shared" si="571"/>
        <v>0.97025346162872561</v>
      </c>
      <c r="CB76" s="113">
        <v>729</v>
      </c>
      <c r="CC76" s="113">
        <v>79</v>
      </c>
      <c r="CD76" s="156">
        <f t="shared" si="572"/>
        <v>0.1083676268861454</v>
      </c>
      <c r="CE76" s="156">
        <f t="shared" si="619"/>
        <v>4.6350621919737153E-3</v>
      </c>
      <c r="CF76" s="113">
        <v>510</v>
      </c>
      <c r="CG76" s="113">
        <v>85</v>
      </c>
      <c r="CH76" s="156">
        <f t="shared" si="573"/>
        <v>0.16666666666666666</v>
      </c>
      <c r="CI76" s="156">
        <f t="shared" si="574"/>
        <v>4.9870922318704528E-3</v>
      </c>
      <c r="CJ76" s="113">
        <v>1524</v>
      </c>
      <c r="CK76" s="113">
        <v>131</v>
      </c>
      <c r="CL76" s="161">
        <f t="shared" si="575"/>
        <v>8.5958005249343827E-2</v>
      </c>
      <c r="CM76" s="156">
        <f t="shared" si="576"/>
        <v>7.6859892044121095E-3</v>
      </c>
      <c r="CN76" s="113">
        <v>17</v>
      </c>
      <c r="CO76" s="113">
        <v>4</v>
      </c>
      <c r="CP76" s="161">
        <f t="shared" si="577"/>
        <v>0.23529411764705882</v>
      </c>
      <c r="CQ76" s="156">
        <f t="shared" si="578"/>
        <v>2.3468669326449191E-4</v>
      </c>
      <c r="CR76" s="105">
        <v>373</v>
      </c>
      <c r="CS76" s="105">
        <v>3</v>
      </c>
      <c r="CT76" s="106">
        <f t="shared" si="579"/>
        <v>8.0428954423592495E-3</v>
      </c>
      <c r="CU76" s="106">
        <f t="shared" si="580"/>
        <v>1.7601501994836893E-4</v>
      </c>
      <c r="CV76" s="113">
        <v>1053</v>
      </c>
      <c r="CW76" s="113">
        <v>54</v>
      </c>
      <c r="CX76" s="156">
        <f t="shared" si="581"/>
        <v>5.128205128205128E-2</v>
      </c>
      <c r="CY76" s="156">
        <f t="shared" si="582"/>
        <v>3.1682703590706408E-3</v>
      </c>
      <c r="CZ76" s="113">
        <v>3128</v>
      </c>
      <c r="DA76" s="113">
        <v>154</v>
      </c>
      <c r="DB76" s="156">
        <f t="shared" si="583"/>
        <v>4.9232736572890026E-2</v>
      </c>
      <c r="DC76" s="156">
        <f t="shared" si="584"/>
        <v>9.0354376906829383E-3</v>
      </c>
      <c r="DD76" s="107">
        <v>7485</v>
      </c>
      <c r="DE76" s="107">
        <v>534</v>
      </c>
      <c r="DF76" s="107">
        <v>3263</v>
      </c>
      <c r="DG76" s="107">
        <v>2248</v>
      </c>
      <c r="DH76" s="107">
        <v>1440</v>
      </c>
      <c r="DI76" s="149">
        <f t="shared" si="585"/>
        <v>7.1342685370741482E-2</v>
      </c>
      <c r="DJ76" s="149">
        <f t="shared" si="586"/>
        <v>0.43593854375417501</v>
      </c>
      <c r="DK76" s="149">
        <f t="shared" si="587"/>
        <v>0.49271877087508348</v>
      </c>
      <c r="DL76" s="107">
        <v>8639</v>
      </c>
      <c r="DM76" s="107">
        <v>506</v>
      </c>
      <c r="DN76" s="107">
        <v>4438</v>
      </c>
      <c r="DO76" s="107">
        <v>2504</v>
      </c>
      <c r="DP76" s="107">
        <v>1191</v>
      </c>
      <c r="DQ76" s="149">
        <f t="shared" si="588"/>
        <v>5.8571593934483156E-2</v>
      </c>
      <c r="DR76" s="149">
        <f t="shared" si="589"/>
        <v>0.51371686537793726</v>
      </c>
      <c r="DS76" s="149">
        <f t="shared" si="590"/>
        <v>0.42771154068757961</v>
      </c>
      <c r="DT76" s="107">
        <f t="shared" si="591"/>
        <v>16124</v>
      </c>
      <c r="DU76" s="107">
        <f t="shared" si="592"/>
        <v>1040</v>
      </c>
      <c r="DV76" s="107">
        <f t="shared" si="593"/>
        <v>7701</v>
      </c>
      <c r="DW76" s="107">
        <f t="shared" si="594"/>
        <v>4752</v>
      </c>
      <c r="DX76" s="107">
        <f t="shared" si="595"/>
        <v>2631</v>
      </c>
      <c r="DY76" s="108">
        <f t="shared" si="596"/>
        <v>6.4500124038700077E-2</v>
      </c>
      <c r="DZ76" s="108">
        <f t="shared" si="597"/>
        <v>0.47761101463656663</v>
      </c>
      <c r="EA76" s="108">
        <f t="shared" si="598"/>
        <v>0.45788886132473333</v>
      </c>
      <c r="EB76" s="107">
        <v>10431</v>
      </c>
      <c r="EC76" s="110">
        <v>1197</v>
      </c>
      <c r="ED76" s="108">
        <f t="shared" si="599"/>
        <v>0.11475409836065574</v>
      </c>
      <c r="EE76" s="107">
        <v>2337</v>
      </c>
      <c r="EF76" s="108">
        <f t="shared" si="599"/>
        <v>0.22404371584699453</v>
      </c>
      <c r="EG76" s="107">
        <v>3766</v>
      </c>
      <c r="EH76" s="108">
        <f t="shared" ref="EH76" si="662">EG76/$EB76</f>
        <v>0.36103921004697537</v>
      </c>
      <c r="EI76" s="107">
        <v>5331</v>
      </c>
      <c r="EJ76" s="108">
        <f t="shared" ref="EJ76" si="663">EI76/$EB76</f>
        <v>0.51107276387690537</v>
      </c>
      <c r="EK76" s="107">
        <v>7507</v>
      </c>
      <c r="EL76" s="108">
        <f t="shared" ref="EL76" si="664">EK76/$EB76</f>
        <v>0.71968171795609237</v>
      </c>
      <c r="EM76" s="107">
        <v>8773</v>
      </c>
      <c r="EN76" s="108">
        <f t="shared" ref="EN76" si="665">EM76/$EB76</f>
        <v>0.84105071421723709</v>
      </c>
      <c r="EO76" s="163">
        <v>67989</v>
      </c>
      <c r="EP76" s="163">
        <v>53968</v>
      </c>
      <c r="EQ76" s="163">
        <v>81659</v>
      </c>
      <c r="ER76" s="163">
        <v>80496</v>
      </c>
      <c r="ES76" s="163">
        <v>48632</v>
      </c>
      <c r="ET76" s="107">
        <v>7398</v>
      </c>
      <c r="EU76" s="107">
        <v>530</v>
      </c>
      <c r="EV76" s="108">
        <f t="shared" si="604"/>
        <v>7.1640984049743173E-2</v>
      </c>
      <c r="EW76" s="107">
        <v>8400</v>
      </c>
      <c r="EX76" s="107">
        <v>1100</v>
      </c>
      <c r="EY76" s="108">
        <f t="shared" si="605"/>
        <v>0.13095238095238096</v>
      </c>
      <c r="EZ76" s="107">
        <f t="shared" si="606"/>
        <v>15798</v>
      </c>
      <c r="FA76" s="107">
        <f t="shared" si="607"/>
        <v>1630</v>
      </c>
      <c r="FB76" s="108">
        <f t="shared" si="608"/>
        <v>0.10317761741992658</v>
      </c>
      <c r="FC76" s="107">
        <v>15798</v>
      </c>
      <c r="FD76" s="107">
        <v>1630</v>
      </c>
      <c r="FE76" s="108">
        <f t="shared" si="609"/>
        <v>0.10317761741992658</v>
      </c>
      <c r="FF76" s="107">
        <v>2827</v>
      </c>
      <c r="FG76" s="108">
        <f t="shared" si="609"/>
        <v>0.17894670211419167</v>
      </c>
      <c r="FH76" s="107">
        <v>4134</v>
      </c>
      <c r="FI76" s="108">
        <f t="shared" ref="FI76" si="666">FH76/$FC76</f>
        <v>0.26167869350550704</v>
      </c>
      <c r="FJ76" s="107">
        <v>4752</v>
      </c>
      <c r="FK76" s="108">
        <f t="shared" ref="FK76" si="667">FJ76/$FC76</f>
        <v>0.30079756931257123</v>
      </c>
      <c r="FL76" s="107">
        <v>8052</v>
      </c>
      <c r="FM76" s="108">
        <f t="shared" ref="FM76" si="668">FL76/$FC76</f>
        <v>0.50968477022407899</v>
      </c>
      <c r="FN76" s="107">
        <v>1087</v>
      </c>
      <c r="FO76" s="108">
        <v>0.24038036267138435</v>
      </c>
      <c r="FP76" s="107">
        <v>11</v>
      </c>
      <c r="FQ76" s="108">
        <v>2.4325519681556835E-3</v>
      </c>
      <c r="FR76" s="107">
        <v>173</v>
      </c>
      <c r="FS76" s="108">
        <v>5.8386770165372935E-2</v>
      </c>
      <c r="FT76" s="110">
        <v>6</v>
      </c>
      <c r="FU76" s="108">
        <v>2.0249746878164025E-3</v>
      </c>
      <c r="FV76" s="107">
        <v>676</v>
      </c>
      <c r="FW76" s="108">
        <v>0.14213624894869639</v>
      </c>
      <c r="FX76" s="107">
        <v>1</v>
      </c>
      <c r="FY76" s="108">
        <v>2.1026072329688813E-4</v>
      </c>
      <c r="FZ76" s="107">
        <v>127</v>
      </c>
      <c r="GA76" s="108">
        <v>3.2706670100437804E-2</v>
      </c>
      <c r="GB76" s="107">
        <v>89</v>
      </c>
      <c r="GC76" s="108">
        <v>2.2920422353850115E-2</v>
      </c>
      <c r="GD76" s="107">
        <v>2063</v>
      </c>
      <c r="GE76" s="117">
        <v>0.12794591912676756</v>
      </c>
      <c r="GF76" s="107">
        <v>107</v>
      </c>
      <c r="GG76" s="117">
        <v>6.6360704539816422E-3</v>
      </c>
      <c r="GH76" s="107">
        <v>10431</v>
      </c>
      <c r="GI76" s="107">
        <v>2363</v>
      </c>
      <c r="GJ76" s="108">
        <f t="shared" si="613"/>
        <v>0.22653628607036719</v>
      </c>
      <c r="GK76" s="107">
        <v>1175</v>
      </c>
      <c r="GL76" s="108">
        <f t="shared" si="614"/>
        <v>0.49724925941599663</v>
      </c>
      <c r="GM76" s="107">
        <v>1008</v>
      </c>
      <c r="GN76" s="108">
        <f t="shared" si="615"/>
        <v>0.42657638595006347</v>
      </c>
      <c r="GO76" s="107">
        <v>8068</v>
      </c>
      <c r="GP76" s="108">
        <f t="shared" si="616"/>
        <v>0.77346371392963287</v>
      </c>
      <c r="GQ76" s="107">
        <v>6343</v>
      </c>
      <c r="GR76" s="108">
        <f t="shared" si="617"/>
        <v>0.78619236489836386</v>
      </c>
      <c r="GS76" s="107">
        <v>1642</v>
      </c>
      <c r="GT76" s="108">
        <f t="shared" si="618"/>
        <v>0.2035200793257313</v>
      </c>
    </row>
  </sheetData>
  <autoFilter ref="O1:O76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79"/>
  <sheetViews>
    <sheetView tabSelected="1" topLeftCell="D1" zoomScale="120" zoomScaleNormal="120" zoomScaleSheetLayoutView="100" workbookViewId="0">
      <selection activeCell="J3" sqref="J3"/>
    </sheetView>
  </sheetViews>
  <sheetFormatPr defaultColWidth="9.140625" defaultRowHeight="15" x14ac:dyDescent="0.25"/>
  <cols>
    <col min="1" max="1" width="10.140625" style="1" hidden="1" customWidth="1"/>
    <col min="2" max="2" width="13.42578125" style="1" hidden="1" customWidth="1"/>
    <col min="3" max="3" width="39.42578125" style="1" hidden="1" customWidth="1"/>
    <col min="4" max="4" width="7.28515625" style="1" customWidth="1"/>
    <col min="5" max="5" width="68.85546875" style="1" customWidth="1"/>
    <col min="6" max="7" width="13.7109375" style="8" customWidth="1"/>
    <col min="8" max="16384" width="9.140625" style="1"/>
  </cols>
  <sheetData>
    <row r="1" spans="1:8" ht="34.5" customHeight="1" x14ac:dyDescent="0.25">
      <c r="E1" s="209" t="s">
        <v>350</v>
      </c>
    </row>
    <row r="2" spans="1:8" ht="27.75" customHeight="1" x14ac:dyDescent="0.25">
      <c r="E2" s="207" t="str">
        <f xml:space="preserve"> ((Selected_County)&amp;" County Profile of Persons Ages 65 and Older")</f>
        <v>Adams County Profile of Persons Ages 65 and Older</v>
      </c>
      <c r="F2" s="208"/>
      <c r="G2" s="208"/>
    </row>
    <row r="3" spans="1:8" ht="27" customHeight="1" x14ac:dyDescent="0.25">
      <c r="E3" s="205" t="s">
        <v>348</v>
      </c>
      <c r="F3" s="206"/>
      <c r="G3" s="206"/>
    </row>
    <row r="4" spans="1:8" ht="19.5" customHeight="1" x14ac:dyDescent="0.25">
      <c r="A4" s="1" t="s">
        <v>248</v>
      </c>
      <c r="B4" s="1" t="s">
        <v>249</v>
      </c>
      <c r="E4" s="204" t="s">
        <v>331</v>
      </c>
      <c r="F4" s="204"/>
      <c r="G4" s="204"/>
    </row>
    <row r="5" spans="1:8" x14ac:dyDescent="0.25">
      <c r="A5" s="1">
        <v>1</v>
      </c>
      <c r="B5" s="2" t="s">
        <v>177</v>
      </c>
      <c r="E5" s="3"/>
      <c r="F5" s="4"/>
      <c r="G5" s="5"/>
      <c r="H5" s="6"/>
    </row>
    <row r="6" spans="1:8" x14ac:dyDescent="0.25">
      <c r="A6" s="1">
        <v>2</v>
      </c>
      <c r="B6" s="2" t="s">
        <v>178</v>
      </c>
      <c r="E6" s="3"/>
      <c r="F6" s="4"/>
      <c r="G6" s="5"/>
      <c r="H6" s="6"/>
    </row>
    <row r="7" spans="1:8" x14ac:dyDescent="0.25">
      <c r="A7" s="1">
        <v>3</v>
      </c>
      <c r="B7" s="2" t="s">
        <v>179</v>
      </c>
      <c r="E7" s="3"/>
      <c r="F7" s="4"/>
      <c r="G7" s="5"/>
      <c r="H7" s="6"/>
    </row>
    <row r="8" spans="1:8" x14ac:dyDescent="0.25">
      <c r="A8" s="1">
        <v>4</v>
      </c>
      <c r="B8" s="2" t="s">
        <v>180</v>
      </c>
      <c r="E8" s="3"/>
      <c r="F8" s="4"/>
      <c r="G8" s="5"/>
      <c r="H8" s="6"/>
    </row>
    <row r="9" spans="1:8" x14ac:dyDescent="0.25">
      <c r="A9" s="1">
        <v>5</v>
      </c>
      <c r="B9" s="2" t="s">
        <v>181</v>
      </c>
      <c r="E9" s="3"/>
      <c r="F9" s="4"/>
      <c r="G9" s="5"/>
      <c r="H9" s="6"/>
    </row>
    <row r="10" spans="1:8" x14ac:dyDescent="0.25">
      <c r="A10" s="1">
        <v>6</v>
      </c>
      <c r="B10" s="2" t="s">
        <v>182</v>
      </c>
      <c r="E10" s="3"/>
      <c r="F10" s="4"/>
      <c r="G10" s="5"/>
      <c r="H10" s="6"/>
    </row>
    <row r="11" spans="1:8" x14ac:dyDescent="0.25">
      <c r="A11" s="1">
        <v>7</v>
      </c>
      <c r="B11" s="2" t="s">
        <v>183</v>
      </c>
      <c r="E11" s="3"/>
      <c r="F11" s="4"/>
      <c r="G11" s="5"/>
      <c r="H11" s="6"/>
    </row>
    <row r="12" spans="1:8" x14ac:dyDescent="0.25">
      <c r="A12" s="1">
        <v>8</v>
      </c>
      <c r="B12" s="2" t="s">
        <v>184</v>
      </c>
      <c r="E12" s="3"/>
      <c r="F12" s="4"/>
      <c r="G12" s="5"/>
      <c r="H12" s="6"/>
    </row>
    <row r="13" spans="1:8" x14ac:dyDescent="0.25">
      <c r="A13" s="1">
        <v>9</v>
      </c>
      <c r="B13" s="2" t="s">
        <v>185</v>
      </c>
      <c r="E13" s="3"/>
      <c r="F13" s="4"/>
      <c r="G13" s="5"/>
      <c r="H13" s="6"/>
    </row>
    <row r="14" spans="1:8" x14ac:dyDescent="0.25">
      <c r="A14" s="1">
        <v>10</v>
      </c>
      <c r="B14" s="2" t="s">
        <v>186</v>
      </c>
      <c r="E14" s="3"/>
      <c r="F14" s="4"/>
      <c r="G14" s="5"/>
      <c r="H14" s="6"/>
    </row>
    <row r="15" spans="1:8" x14ac:dyDescent="0.25">
      <c r="A15" s="1">
        <v>11</v>
      </c>
      <c r="B15" s="2" t="s">
        <v>187</v>
      </c>
      <c r="E15" s="3"/>
      <c r="F15" s="4"/>
      <c r="G15" s="5"/>
      <c r="H15" s="6"/>
    </row>
    <row r="16" spans="1:8" x14ac:dyDescent="0.25">
      <c r="A16" s="1">
        <v>12</v>
      </c>
      <c r="B16" s="2" t="s">
        <v>188</v>
      </c>
      <c r="E16" s="3"/>
      <c r="F16" s="4"/>
      <c r="G16" s="5"/>
      <c r="H16" s="6"/>
    </row>
    <row r="17" spans="1:8" x14ac:dyDescent="0.25">
      <c r="A17" s="1">
        <v>13</v>
      </c>
      <c r="B17" s="2" t="s">
        <v>189</v>
      </c>
      <c r="E17" s="3"/>
      <c r="F17" s="4"/>
      <c r="G17" s="5"/>
      <c r="H17" s="6"/>
    </row>
    <row r="18" spans="1:8" x14ac:dyDescent="0.25">
      <c r="A18" s="1">
        <v>14</v>
      </c>
      <c r="B18" s="2" t="s">
        <v>190</v>
      </c>
      <c r="E18" s="3"/>
      <c r="F18" s="4"/>
      <c r="G18" s="5"/>
      <c r="H18" s="6"/>
    </row>
    <row r="19" spans="1:8" x14ac:dyDescent="0.25">
      <c r="A19" s="1">
        <v>15</v>
      </c>
      <c r="B19" s="2" t="s">
        <v>191</v>
      </c>
      <c r="E19" s="3"/>
      <c r="F19" s="4"/>
      <c r="G19" s="5"/>
      <c r="H19" s="6"/>
    </row>
    <row r="20" spans="1:8" ht="15.75" thickBot="1" x14ac:dyDescent="0.3">
      <c r="A20" s="1">
        <v>16</v>
      </c>
      <c r="B20" s="2" t="s">
        <v>192</v>
      </c>
      <c r="F20" s="7"/>
    </row>
    <row r="21" spans="1:8" ht="31.5" customHeight="1" thickBot="1" x14ac:dyDescent="0.3">
      <c r="A21" s="1">
        <v>17</v>
      </c>
      <c r="B21" s="2" t="s">
        <v>193</v>
      </c>
      <c r="E21" s="20" t="s">
        <v>176</v>
      </c>
      <c r="F21" s="21" t="s">
        <v>14</v>
      </c>
      <c r="G21" s="22" t="str">
        <f>Selected_County&amp;" County"</f>
        <v>Adams County</v>
      </c>
    </row>
    <row r="22" spans="1:8" s="9" customFormat="1" x14ac:dyDescent="0.25">
      <c r="A22" s="9">
        <v>18</v>
      </c>
      <c r="B22" s="10" t="s">
        <v>194</v>
      </c>
      <c r="C22" s="11" t="s">
        <v>175</v>
      </c>
      <c r="D22" s="11"/>
      <c r="E22" s="23" t="s">
        <v>175</v>
      </c>
      <c r="F22" s="118">
        <v>5914872</v>
      </c>
      <c r="G22" s="164">
        <f>INDEX(data!$A$3:$WXA$1002,MATCH(Selected_County,data!$A$3:$A$1002,),MATCH($C22,data!$A$3:$WXA$3,))</f>
        <v>21123</v>
      </c>
    </row>
    <row r="23" spans="1:8" x14ac:dyDescent="0.25">
      <c r="A23" s="1">
        <v>19</v>
      </c>
      <c r="B23" s="2" t="s">
        <v>195</v>
      </c>
      <c r="C23" s="1" t="s">
        <v>174</v>
      </c>
      <c r="E23" s="24" t="s">
        <v>174</v>
      </c>
      <c r="F23" s="119">
        <v>1514099</v>
      </c>
      <c r="G23" s="165">
        <f>INDEX(data!$A$3:$WXA$1002,MATCH(Selected_County,data!$A$3:$A$1002,),MATCH($C23,data!$A$3:$WXA$3,))</f>
        <v>9045</v>
      </c>
    </row>
    <row r="24" spans="1:8" x14ac:dyDescent="0.25">
      <c r="A24" s="1">
        <v>20</v>
      </c>
      <c r="B24" s="2" t="s">
        <v>196</v>
      </c>
      <c r="C24" s="1" t="s">
        <v>173</v>
      </c>
      <c r="E24" s="24" t="s">
        <v>173</v>
      </c>
      <c r="F24" s="119">
        <v>1096043</v>
      </c>
      <c r="G24" s="165">
        <f>INDEX(data!$A$3:$WXA$1002,MATCH(Selected_County,data!$A$3:$A$1002,),MATCH($C24,data!$A$3:$WXA$3,))</f>
        <v>6803</v>
      </c>
    </row>
    <row r="25" spans="1:8" x14ac:dyDescent="0.25">
      <c r="A25" s="1">
        <v>21</v>
      </c>
      <c r="B25" s="2" t="s">
        <v>197</v>
      </c>
      <c r="C25" s="1" t="s">
        <v>172</v>
      </c>
      <c r="E25" s="24" t="s">
        <v>172</v>
      </c>
      <c r="F25" s="119">
        <v>434379</v>
      </c>
      <c r="G25" s="165">
        <f>INDEX(data!$A$3:$WXA$1002,MATCH(Selected_County,data!$A$3:$A$1002,),MATCH($C25,data!$A$3:$WXA$3,))</f>
        <v>2595</v>
      </c>
    </row>
    <row r="26" spans="1:8" x14ac:dyDescent="0.25">
      <c r="A26" s="1">
        <v>22</v>
      </c>
      <c r="B26" s="2" t="s">
        <v>198</v>
      </c>
      <c r="C26" s="1" t="s">
        <v>171</v>
      </c>
      <c r="E26" s="24" t="s">
        <v>171</v>
      </c>
      <c r="F26" s="119">
        <v>124459</v>
      </c>
      <c r="G26" s="165">
        <f>INDEX(data!$A$3:$WXA$1002,MATCH(Selected_County,data!$A$3:$A$1002,),MATCH($C26,data!$A$3:$WXA$3,))</f>
        <v>668</v>
      </c>
    </row>
    <row r="27" spans="1:8" x14ac:dyDescent="0.25">
      <c r="A27" s="1">
        <v>23</v>
      </c>
      <c r="B27" s="2" t="s">
        <v>199</v>
      </c>
      <c r="C27" s="1" t="s">
        <v>170</v>
      </c>
      <c r="E27" s="25" t="s">
        <v>170</v>
      </c>
      <c r="F27" s="120">
        <v>0.25598170171729834</v>
      </c>
      <c r="G27" s="166">
        <f>INDEX(data!$A$3:$WXA$1002,MATCH(Selected_County,data!$A$3:$A$1002,),MATCH($C27,data!$A$3:$WXA$3,))</f>
        <v>0.42820622070728592</v>
      </c>
    </row>
    <row r="28" spans="1:8" x14ac:dyDescent="0.25">
      <c r="A28" s="1">
        <v>24</v>
      </c>
      <c r="B28" s="2" t="s">
        <v>200</v>
      </c>
      <c r="C28" s="1" t="s">
        <v>169</v>
      </c>
      <c r="E28" s="25" t="s">
        <v>169</v>
      </c>
      <c r="F28" s="120">
        <v>0.18530291103509933</v>
      </c>
      <c r="G28" s="166">
        <f>INDEX(data!$A$3:$WXA$1002,MATCH(Selected_County,data!$A$3:$A$1002,),MATCH($C28,data!$A$3:$WXA$3,))</f>
        <v>0.32206599441367229</v>
      </c>
    </row>
    <row r="29" spans="1:8" x14ac:dyDescent="0.25">
      <c r="A29" s="1">
        <v>25</v>
      </c>
      <c r="B29" s="2" t="s">
        <v>201</v>
      </c>
      <c r="C29" s="1" t="s">
        <v>168</v>
      </c>
      <c r="E29" s="25" t="s">
        <v>168</v>
      </c>
      <c r="F29" s="121">
        <v>7.343844465273297E-2</v>
      </c>
      <c r="G29" s="166">
        <f>INDEX(data!$A$3:$WXA$1002,MATCH(Selected_County,data!$A$3:$A$1002,),MATCH($C29,data!$A$3:$WXA$3,))</f>
        <v>0.12285186763243858</v>
      </c>
    </row>
    <row r="30" spans="1:8" ht="15.75" thickBot="1" x14ac:dyDescent="0.3">
      <c r="A30" s="1">
        <v>26</v>
      </c>
      <c r="B30" s="2" t="s">
        <v>202</v>
      </c>
      <c r="C30" s="1" t="s">
        <v>167</v>
      </c>
      <c r="E30" s="26" t="s">
        <v>167</v>
      </c>
      <c r="F30" s="122">
        <v>2.1041706397027696E-2</v>
      </c>
      <c r="G30" s="167">
        <f>INDEX(data!$A$3:$WXA$1002,MATCH(Selected_County,data!$A$3:$A$1002,),MATCH($C30,data!$A$3:$WXA$3,))</f>
        <v>3.1624295791317522E-2</v>
      </c>
    </row>
    <row r="31" spans="1:8" x14ac:dyDescent="0.25">
      <c r="A31" s="1">
        <v>27</v>
      </c>
      <c r="B31" s="2" t="s">
        <v>203</v>
      </c>
      <c r="C31" s="1" t="s">
        <v>49</v>
      </c>
      <c r="E31" s="27" t="s">
        <v>49</v>
      </c>
      <c r="F31" s="119">
        <v>510727</v>
      </c>
      <c r="G31" s="168">
        <f>INDEX(data!$A$3:$WXA$1002,MATCH(Selected_County,data!$A$3:$A$1002,),MATCH($C31,data!$A$3:$WXA$3,))</f>
        <v>3531</v>
      </c>
    </row>
    <row r="32" spans="1:8" x14ac:dyDescent="0.25">
      <c r="A32" s="1">
        <v>28</v>
      </c>
      <c r="B32" s="2" t="s">
        <v>204</v>
      </c>
      <c r="C32" s="1" t="s">
        <v>166</v>
      </c>
      <c r="E32" s="28" t="s">
        <v>166</v>
      </c>
      <c r="F32" s="120">
        <v>0.46597350651388675</v>
      </c>
      <c r="G32" s="169">
        <f>INDEX(data!$A$3:$WXA$1002,MATCH(Selected_County,data!$A$3:$A$1002,),MATCH($C32,data!$A$3:$WXA$3,))</f>
        <v>0.5190357195354991</v>
      </c>
    </row>
    <row r="33" spans="1:7" x14ac:dyDescent="0.25">
      <c r="A33" s="1">
        <v>29</v>
      </c>
      <c r="B33" s="2" t="s">
        <v>205</v>
      </c>
      <c r="C33" s="1" t="s">
        <v>46</v>
      </c>
      <c r="E33" s="24" t="s">
        <v>46</v>
      </c>
      <c r="F33" s="119">
        <v>585316</v>
      </c>
      <c r="G33" s="168">
        <f>INDEX(data!$A$3:$WXA$1002,MATCH(Selected_County,data!$A$3:$A$1002,),MATCH($C33,data!$A$3:$WXA$3,))</f>
        <v>3272</v>
      </c>
    </row>
    <row r="34" spans="1:7" ht="15.75" thickBot="1" x14ac:dyDescent="0.3">
      <c r="A34" s="1">
        <v>30</v>
      </c>
      <c r="B34" s="2" t="s">
        <v>206</v>
      </c>
      <c r="C34" s="1" t="s">
        <v>165</v>
      </c>
      <c r="E34" s="28" t="s">
        <v>165</v>
      </c>
      <c r="F34" s="122">
        <v>0.5340264934861132</v>
      </c>
      <c r="G34" s="169">
        <f>INDEX(data!$A$3:$WXA$1002,MATCH(Selected_County,data!$A$3:$A$1002,),MATCH($C34,data!$A$3:$WXA$3,))</f>
        <v>0.48096428046450096</v>
      </c>
    </row>
    <row r="35" spans="1:7" ht="15.75" thickBot="1" x14ac:dyDescent="0.3">
      <c r="A35" s="1">
        <v>31</v>
      </c>
      <c r="B35" s="2" t="s">
        <v>207</v>
      </c>
      <c r="E35" s="29" t="s">
        <v>332</v>
      </c>
      <c r="F35" s="30"/>
      <c r="G35" s="170"/>
    </row>
    <row r="36" spans="1:7" x14ac:dyDescent="0.25">
      <c r="A36" s="1">
        <v>32</v>
      </c>
      <c r="B36" s="2" t="s">
        <v>208</v>
      </c>
      <c r="E36" s="31"/>
      <c r="F36" s="32"/>
      <c r="G36" s="68"/>
    </row>
    <row r="37" spans="1:7" ht="15.75" thickBot="1" x14ac:dyDescent="0.3">
      <c r="A37" s="1">
        <v>33</v>
      </c>
      <c r="B37" s="2" t="s">
        <v>209</v>
      </c>
      <c r="E37" s="31"/>
      <c r="F37" s="32"/>
      <c r="G37" s="68"/>
    </row>
    <row r="38" spans="1:7" ht="31.5" customHeight="1" thickBot="1" x14ac:dyDescent="0.3">
      <c r="A38" s="1">
        <v>34</v>
      </c>
      <c r="B38" s="2" t="s">
        <v>210</v>
      </c>
      <c r="E38" s="20" t="s">
        <v>164</v>
      </c>
      <c r="F38" s="21" t="s">
        <v>14</v>
      </c>
      <c r="G38" s="22" t="str">
        <f>Selected_County&amp;" County"</f>
        <v>Adams County</v>
      </c>
    </row>
    <row r="39" spans="1:7" ht="15.75" thickBot="1" x14ac:dyDescent="0.3">
      <c r="A39" s="1">
        <v>35</v>
      </c>
      <c r="B39" s="2" t="s">
        <v>211</v>
      </c>
      <c r="C39" s="1" t="s">
        <v>163</v>
      </c>
      <c r="E39" s="33" t="s">
        <v>163</v>
      </c>
      <c r="F39" s="123">
        <v>40.200000000000003</v>
      </c>
      <c r="G39" s="171">
        <f>INDEX(data!$A$3:$WXA$1002,MATCH(Selected_County,data!$A$3:$A$1002,),MATCH($C39,data!$A$3:$WXA$3,))</f>
        <v>55.7</v>
      </c>
    </row>
    <row r="40" spans="1:7" ht="15.75" thickBot="1" x14ac:dyDescent="0.3">
      <c r="A40" s="1">
        <v>36</v>
      </c>
      <c r="B40" s="2" t="s">
        <v>212</v>
      </c>
      <c r="E40" s="29" t="s">
        <v>333</v>
      </c>
      <c r="F40" s="34"/>
      <c r="G40" s="172"/>
    </row>
    <row r="41" spans="1:7" x14ac:dyDescent="0.25">
      <c r="A41" s="1">
        <v>37</v>
      </c>
      <c r="B41" s="2" t="s">
        <v>213</v>
      </c>
      <c r="E41" s="31"/>
      <c r="F41" s="32"/>
      <c r="G41" s="68"/>
    </row>
    <row r="42" spans="1:7" ht="15.75" thickBot="1" x14ac:dyDescent="0.3">
      <c r="A42" s="1">
        <v>38</v>
      </c>
      <c r="B42" s="2" t="s">
        <v>214</v>
      </c>
      <c r="E42" s="31"/>
      <c r="F42" s="32"/>
      <c r="G42" s="68"/>
    </row>
    <row r="43" spans="1:7" ht="31.5" customHeight="1" thickBot="1" x14ac:dyDescent="0.3">
      <c r="A43" s="1">
        <v>39</v>
      </c>
      <c r="B43" s="2" t="s">
        <v>215</v>
      </c>
      <c r="E43" s="20" t="s">
        <v>162</v>
      </c>
      <c r="F43" s="21" t="s">
        <v>14</v>
      </c>
      <c r="G43" s="22" t="str">
        <f>Selected_County&amp;" County"</f>
        <v>Adams County</v>
      </c>
    </row>
    <row r="44" spans="1:7" s="9" customFormat="1" x14ac:dyDescent="0.25">
      <c r="A44" s="9">
        <v>40</v>
      </c>
      <c r="B44" s="10" t="s">
        <v>216</v>
      </c>
      <c r="C44" s="9" t="s">
        <v>161</v>
      </c>
      <c r="E44" s="35" t="s">
        <v>161</v>
      </c>
      <c r="F44" s="124">
        <v>2479480</v>
      </c>
      <c r="G44" s="173">
        <f>INDEX(data!$A$3:$WXA$1002,MATCH(Selected_County,data!$A$3:$A$1002,),MATCH($C44,data!$A$3:$WXA$3,))</f>
        <v>9517</v>
      </c>
    </row>
    <row r="45" spans="1:7" x14ac:dyDescent="0.25">
      <c r="A45" s="1">
        <v>41</v>
      </c>
      <c r="B45" s="2" t="s">
        <v>217</v>
      </c>
      <c r="C45" s="1" t="s">
        <v>160</v>
      </c>
      <c r="E45" s="24" t="s">
        <v>160</v>
      </c>
      <c r="F45" s="125">
        <v>1033712</v>
      </c>
      <c r="G45" s="174">
        <f>INDEX(data!$A$3:$WXA$1002,MATCH(Selected_County,data!$A$3:$A$1002,),MATCH($C45,data!$A$3:$WXA$3,))</f>
        <v>5968</v>
      </c>
    </row>
    <row r="46" spans="1:7" x14ac:dyDescent="0.25">
      <c r="A46" s="1">
        <v>42</v>
      </c>
      <c r="B46" s="2" t="s">
        <v>218</v>
      </c>
      <c r="C46" s="1" t="s">
        <v>159</v>
      </c>
      <c r="E46" s="28" t="s">
        <v>159</v>
      </c>
      <c r="F46" s="120">
        <v>0.41690677077451721</v>
      </c>
      <c r="G46" s="166">
        <f>INDEX(data!$A$3:$WXA$1002,MATCH(Selected_County,data!$A$3:$A$1002,),MATCH($C46,data!$A$3:$WXA$3,))</f>
        <v>0.62708836818325098</v>
      </c>
    </row>
    <row r="47" spans="1:7" x14ac:dyDescent="0.25">
      <c r="A47" s="1">
        <v>43</v>
      </c>
      <c r="B47" s="2" t="s">
        <v>219</v>
      </c>
      <c r="C47" s="1" t="s">
        <v>158</v>
      </c>
      <c r="E47" s="24" t="s">
        <v>158</v>
      </c>
      <c r="F47" s="125">
        <v>778619</v>
      </c>
      <c r="G47" s="174">
        <f>INDEX(data!$A$3:$WXA$1002,MATCH(Selected_County,data!$A$3:$A$1002,),MATCH($C47,data!$A$3:$WXA$3,))</f>
        <v>4721</v>
      </c>
    </row>
    <row r="48" spans="1:7" ht="15.75" thickBot="1" x14ac:dyDescent="0.3">
      <c r="A48" s="1">
        <v>44</v>
      </c>
      <c r="B48" s="2" t="s">
        <v>220</v>
      </c>
      <c r="C48" s="1" t="s">
        <v>157</v>
      </c>
      <c r="E48" s="36" t="s">
        <v>157</v>
      </c>
      <c r="F48" s="121">
        <v>0.31402511816993883</v>
      </c>
      <c r="G48" s="167">
        <f>INDEX(data!$A$3:$WXA$1002,MATCH(Selected_County,data!$A$3:$A$1002,),MATCH($C48,data!$A$3:$WXA$3,))</f>
        <v>0.49605968267311129</v>
      </c>
    </row>
    <row r="49" spans="1:7" ht="15.75" thickBot="1" x14ac:dyDescent="0.3">
      <c r="A49" s="1">
        <v>45</v>
      </c>
      <c r="B49" s="2" t="s">
        <v>221</v>
      </c>
      <c r="E49" s="29" t="s">
        <v>334</v>
      </c>
      <c r="F49" s="34"/>
      <c r="G49" s="172"/>
    </row>
    <row r="50" spans="1:7" x14ac:dyDescent="0.25">
      <c r="A50" s="1">
        <v>46</v>
      </c>
      <c r="B50" s="2" t="s">
        <v>222</v>
      </c>
      <c r="E50" s="37"/>
      <c r="F50" s="38"/>
      <c r="G50" s="175"/>
    </row>
    <row r="51" spans="1:7" ht="15.75" thickBot="1" x14ac:dyDescent="0.3">
      <c r="A51" s="1">
        <v>47</v>
      </c>
      <c r="B51" s="2" t="s">
        <v>223</v>
      </c>
      <c r="E51" s="31"/>
      <c r="F51" s="32"/>
      <c r="G51" s="68"/>
    </row>
    <row r="52" spans="1:7" ht="33.75" customHeight="1" thickBot="1" x14ac:dyDescent="0.3">
      <c r="A52" s="1">
        <v>48</v>
      </c>
      <c r="B52" s="2" t="s">
        <v>224</v>
      </c>
      <c r="E52" s="20" t="s">
        <v>306</v>
      </c>
      <c r="F52" s="21" t="s">
        <v>14</v>
      </c>
      <c r="G52" s="22" t="str">
        <f>Selected_County&amp;" County"</f>
        <v>Adams County</v>
      </c>
    </row>
    <row r="53" spans="1:7" s="9" customFormat="1" ht="15.75" thickBot="1" x14ac:dyDescent="0.3">
      <c r="A53" s="9">
        <v>49</v>
      </c>
      <c r="B53" s="10" t="s">
        <v>225</v>
      </c>
      <c r="C53" s="9" t="s">
        <v>155</v>
      </c>
      <c r="E53" s="39" t="s">
        <v>155</v>
      </c>
      <c r="F53" s="126">
        <v>510727</v>
      </c>
      <c r="G53" s="176">
        <f>INDEX(data!$A$3:$WXA$1002,MATCH(Selected_County,data!$A$3:$A$1002,),MATCH($C53,data!$A$3:$WXA$3,))</f>
        <v>3531</v>
      </c>
    </row>
    <row r="54" spans="1:7" x14ac:dyDescent="0.25">
      <c r="A54" s="1">
        <v>50</v>
      </c>
      <c r="B54" s="2" t="s">
        <v>226</v>
      </c>
      <c r="C54" s="1" t="s">
        <v>154</v>
      </c>
      <c r="E54" s="27" t="s">
        <v>154</v>
      </c>
      <c r="F54" s="127">
        <v>35830</v>
      </c>
      <c r="G54" s="165">
        <f>INDEX(data!$A$3:$WXA$1002,MATCH(Selected_County,data!$A$3:$A$1002,),MATCH($C54,data!$A$3:$WXA$3,))</f>
        <v>148</v>
      </c>
    </row>
    <row r="55" spans="1:7" x14ac:dyDescent="0.25">
      <c r="A55" s="1">
        <v>51</v>
      </c>
      <c r="B55" s="2" t="s">
        <v>227</v>
      </c>
      <c r="C55" s="1" t="s">
        <v>262</v>
      </c>
      <c r="E55" s="28" t="s">
        <v>262</v>
      </c>
      <c r="F55" s="120">
        <v>7.0154896843127548E-2</v>
      </c>
      <c r="G55" s="177">
        <f>INDEX(data!$A$3:$WXA$1002,MATCH(Selected_County,data!$A$3:$A$1002,),MATCH($C55,data!$A$3:$WXA$3,))</f>
        <v>4.1914471821013877E-2</v>
      </c>
    </row>
    <row r="56" spans="1:7" x14ac:dyDescent="0.25">
      <c r="A56" s="1">
        <v>52</v>
      </c>
      <c r="B56" s="2" t="s">
        <v>228</v>
      </c>
      <c r="C56" s="1" t="s">
        <v>153</v>
      </c>
      <c r="E56" s="24" t="s">
        <v>153</v>
      </c>
      <c r="F56" s="125">
        <v>343234</v>
      </c>
      <c r="G56" s="168">
        <f>INDEX(data!$A$3:$WXA$1002,MATCH(Selected_County,data!$A$3:$A$1002,),MATCH($C56,data!$A$3:$WXA$3,))</f>
        <v>2326</v>
      </c>
    </row>
    <row r="57" spans="1:7" x14ac:dyDescent="0.25">
      <c r="A57" s="1">
        <v>53</v>
      </c>
      <c r="B57" s="2" t="s">
        <v>229</v>
      </c>
      <c r="C57" s="1" t="s">
        <v>263</v>
      </c>
      <c r="E57" s="28" t="s">
        <v>263</v>
      </c>
      <c r="F57" s="120">
        <v>0.67204984267524526</v>
      </c>
      <c r="G57" s="177">
        <f>INDEX(data!$A$3:$WXA$1002,MATCH(Selected_County,data!$A$3:$A$1002,),MATCH($C57,data!$A$3:$WXA$3,))</f>
        <v>0.65873690172755595</v>
      </c>
    </row>
    <row r="58" spans="1:7" x14ac:dyDescent="0.25">
      <c r="A58" s="1">
        <v>54</v>
      </c>
      <c r="B58" s="2" t="s">
        <v>230</v>
      </c>
      <c r="C58" s="1" t="s">
        <v>152</v>
      </c>
      <c r="E58" s="24" t="s">
        <v>152</v>
      </c>
      <c r="F58" s="125">
        <v>14953</v>
      </c>
      <c r="G58" s="168">
        <f>INDEX(data!$A$3:$WXA$1002,MATCH(Selected_County,data!$A$3:$A$1002,),MATCH($C58,data!$A$3:$WXA$3,))</f>
        <v>91</v>
      </c>
    </row>
    <row r="59" spans="1:7" x14ac:dyDescent="0.25">
      <c r="A59" s="1">
        <v>55</v>
      </c>
      <c r="B59" s="2" t="s">
        <v>231</v>
      </c>
      <c r="C59" s="1" t="s">
        <v>264</v>
      </c>
      <c r="E59" s="28" t="s">
        <v>264</v>
      </c>
      <c r="F59" s="120">
        <v>2.9277872522893836E-2</v>
      </c>
      <c r="G59" s="177">
        <f>INDEX(data!$A$3:$WXA$1002,MATCH(Selected_County,data!$A$3:$A$1002,),MATCH($C59,data!$A$3:$WXA$3,))</f>
        <v>2.5771736052109882E-2</v>
      </c>
    </row>
    <row r="60" spans="1:7" x14ac:dyDescent="0.25">
      <c r="A60" s="1">
        <v>56</v>
      </c>
      <c r="B60" s="2" t="s">
        <v>232</v>
      </c>
      <c r="C60" s="1" t="s">
        <v>151</v>
      </c>
      <c r="E60" s="24" t="s">
        <v>151</v>
      </c>
      <c r="F60" s="125">
        <v>50209</v>
      </c>
      <c r="G60" s="168">
        <f>INDEX(data!$A$3:$WXA$1002,MATCH(Selected_County,data!$A$3:$A$1002,),MATCH($C60,data!$A$3:$WXA$3,))</f>
        <v>325</v>
      </c>
    </row>
    <row r="61" spans="1:7" x14ac:dyDescent="0.25">
      <c r="A61" s="1">
        <v>57</v>
      </c>
      <c r="B61" s="2" t="s">
        <v>233</v>
      </c>
      <c r="C61" s="1" t="s">
        <v>265</v>
      </c>
      <c r="E61" s="28" t="s">
        <v>265</v>
      </c>
      <c r="F61" s="120">
        <v>9.8308881261417541E-2</v>
      </c>
      <c r="G61" s="177">
        <f>INDEX(data!$A$3:$WXA$1002,MATCH(Selected_County,data!$A$3:$A$1002,),MATCH($C61,data!$A$3:$WXA$3,))</f>
        <v>9.2041914471821015E-2</v>
      </c>
    </row>
    <row r="62" spans="1:7" x14ac:dyDescent="0.25">
      <c r="A62" s="1">
        <v>58</v>
      </c>
      <c r="B62" s="2" t="s">
        <v>234</v>
      </c>
      <c r="C62" s="1" t="s">
        <v>150</v>
      </c>
      <c r="E62" s="24" t="s">
        <v>150</v>
      </c>
      <c r="F62" s="125">
        <v>66501</v>
      </c>
      <c r="G62" s="168">
        <f>INDEX(data!$A$3:$WXA$1002,MATCH(Selected_County,data!$A$3:$A$1002,),MATCH($C62,data!$A$3:$WXA$3,))</f>
        <v>641</v>
      </c>
    </row>
    <row r="63" spans="1:7" ht="15.75" thickBot="1" x14ac:dyDescent="0.3">
      <c r="A63" s="1">
        <v>59</v>
      </c>
      <c r="B63" s="2" t="s">
        <v>235</v>
      </c>
      <c r="C63" s="1" t="s">
        <v>266</v>
      </c>
      <c r="E63" s="36" t="s">
        <v>266</v>
      </c>
      <c r="F63" s="121">
        <v>0.13020850669731579</v>
      </c>
      <c r="G63" s="178">
        <f>INDEX(data!$A$3:$WXA$1002,MATCH(Selected_County,data!$A$3:$A$1002,),MATCH($C63,data!$A$3:$WXA$3,))</f>
        <v>0.18153497592749929</v>
      </c>
    </row>
    <row r="64" spans="1:7" s="9" customFormat="1" ht="15.75" thickBot="1" x14ac:dyDescent="0.3">
      <c r="A64" s="9">
        <v>60</v>
      </c>
      <c r="B64" s="10" t="s">
        <v>236</v>
      </c>
      <c r="C64" s="9" t="s">
        <v>149</v>
      </c>
      <c r="E64" s="39" t="s">
        <v>149</v>
      </c>
      <c r="F64" s="126">
        <v>585316</v>
      </c>
      <c r="G64" s="176">
        <f>INDEX(data!$A$3:$WXA$1002,MATCH(Selected_County,data!$A$3:$A$1002,),MATCH($C64,data!$A$3:$WXA$3,))</f>
        <v>3272</v>
      </c>
    </row>
    <row r="65" spans="1:7" x14ac:dyDescent="0.25">
      <c r="A65" s="1">
        <v>61</v>
      </c>
      <c r="B65" s="2" t="s">
        <v>237</v>
      </c>
      <c r="C65" s="1" t="s">
        <v>148</v>
      </c>
      <c r="E65" s="27" t="s">
        <v>148</v>
      </c>
      <c r="F65" s="127">
        <v>37140</v>
      </c>
      <c r="G65" s="165">
        <f>INDEX(data!$A$3:$WXA$1002,MATCH(Selected_County,data!$A$3:$A$1002,),MATCH($C65,data!$A$3:$WXA$3,))</f>
        <v>165</v>
      </c>
    </row>
    <row r="66" spans="1:7" x14ac:dyDescent="0.25">
      <c r="A66" s="1">
        <v>62</v>
      </c>
      <c r="B66" s="2" t="s">
        <v>13</v>
      </c>
      <c r="C66" s="1" t="s">
        <v>267</v>
      </c>
      <c r="E66" s="28" t="s">
        <v>267</v>
      </c>
      <c r="F66" s="120">
        <v>6.345290407233016E-2</v>
      </c>
      <c r="G66" s="177">
        <f>INDEX(data!$A$3:$WXA$1002,MATCH(Selected_County,data!$A$3:$A$1002,),MATCH($C66,data!$A$3:$WXA$3,))</f>
        <v>5.04278728606357E-2</v>
      </c>
    </row>
    <row r="67" spans="1:7" x14ac:dyDescent="0.25">
      <c r="A67" s="1">
        <v>63</v>
      </c>
      <c r="B67" s="2" t="s">
        <v>238</v>
      </c>
      <c r="C67" s="1" t="s">
        <v>147</v>
      </c>
      <c r="E67" s="24" t="s">
        <v>147</v>
      </c>
      <c r="F67" s="125">
        <v>275664</v>
      </c>
      <c r="G67" s="168">
        <f>INDEX(data!$A$3:$WXA$1002,MATCH(Selected_County,data!$A$3:$A$1002,),MATCH($C67,data!$A$3:$WXA$3,))</f>
        <v>1739</v>
      </c>
    </row>
    <row r="68" spans="1:7" x14ac:dyDescent="0.25">
      <c r="A68" s="1">
        <v>64</v>
      </c>
      <c r="B68" s="2" t="s">
        <v>239</v>
      </c>
      <c r="C68" s="1" t="s">
        <v>268</v>
      </c>
      <c r="E68" s="28" t="s">
        <v>268</v>
      </c>
      <c r="F68" s="120">
        <v>0.47096611061375393</v>
      </c>
      <c r="G68" s="177">
        <f>INDEX(data!$A$3:$WXA$1002,MATCH(Selected_County,data!$A$3:$A$1002,),MATCH($C68,data!$A$3:$WXA$3,))</f>
        <v>0.53147921760391204</v>
      </c>
    </row>
    <row r="69" spans="1:7" x14ac:dyDescent="0.25">
      <c r="A69" s="1">
        <v>65</v>
      </c>
      <c r="B69" s="2" t="s">
        <v>240</v>
      </c>
      <c r="C69" s="1" t="s">
        <v>146</v>
      </c>
      <c r="E69" s="24" t="s">
        <v>146</v>
      </c>
      <c r="F69" s="125">
        <v>14366</v>
      </c>
      <c r="G69" s="168">
        <f>INDEX(data!$A$3:$WXA$1002,MATCH(Selected_County,data!$A$3:$A$1002,),MATCH($C69,data!$A$3:$WXA$3,))</f>
        <v>68</v>
      </c>
    </row>
    <row r="70" spans="1:7" x14ac:dyDescent="0.25">
      <c r="A70" s="1">
        <v>66</v>
      </c>
      <c r="B70" s="2" t="s">
        <v>241</v>
      </c>
      <c r="C70" s="1" t="s">
        <v>269</v>
      </c>
      <c r="E70" s="28" t="s">
        <v>269</v>
      </c>
      <c r="F70" s="120">
        <v>2.4544006997929323E-2</v>
      </c>
      <c r="G70" s="177">
        <f>INDEX(data!$A$3:$WXA$1002,MATCH(Selected_County,data!$A$3:$A$1002,),MATCH($C70,data!$A$3:$WXA$3,))</f>
        <v>2.0782396088019559E-2</v>
      </c>
    </row>
    <row r="71" spans="1:7" x14ac:dyDescent="0.25">
      <c r="A71" s="1">
        <v>67</v>
      </c>
      <c r="B71" s="2" t="s">
        <v>242</v>
      </c>
      <c r="C71" s="1" t="s">
        <v>145</v>
      </c>
      <c r="E71" s="24" t="s">
        <v>145</v>
      </c>
      <c r="F71" s="125">
        <v>165331</v>
      </c>
      <c r="G71" s="168">
        <f>INDEX(data!$A$3:$WXA$1002,MATCH(Selected_County,data!$A$3:$A$1002,),MATCH($C71,data!$A$3:$WXA$3,))</f>
        <v>836</v>
      </c>
    </row>
    <row r="72" spans="1:7" x14ac:dyDescent="0.25">
      <c r="A72" s="1">
        <v>68</v>
      </c>
      <c r="B72" s="2" t="s">
        <v>243</v>
      </c>
      <c r="C72" s="1" t="s">
        <v>270</v>
      </c>
      <c r="E72" s="28" t="s">
        <v>270</v>
      </c>
      <c r="F72" s="120">
        <v>0.28246451489451851</v>
      </c>
      <c r="G72" s="177">
        <f>INDEX(data!$A$3:$WXA$1002,MATCH(Selected_County,data!$A$3:$A$1002,),MATCH($C72,data!$A$3:$WXA$3,))</f>
        <v>0.25550122249388751</v>
      </c>
    </row>
    <row r="73" spans="1:7" x14ac:dyDescent="0.25">
      <c r="A73" s="1">
        <v>69</v>
      </c>
      <c r="B73" s="2" t="s">
        <v>244</v>
      </c>
      <c r="C73" s="1" t="s">
        <v>144</v>
      </c>
      <c r="E73" s="24" t="s">
        <v>144</v>
      </c>
      <c r="F73" s="125">
        <v>92815</v>
      </c>
      <c r="G73" s="168">
        <f>INDEX(data!$A$3:$WXA$1002,MATCH(Selected_County,data!$A$3:$A$1002,),MATCH($C73,data!$A$3:$WXA$3,))</f>
        <v>464</v>
      </c>
    </row>
    <row r="74" spans="1:7" ht="15.75" thickBot="1" x14ac:dyDescent="0.3">
      <c r="A74" s="1">
        <v>70</v>
      </c>
      <c r="B74" s="2" t="s">
        <v>245</v>
      </c>
      <c r="C74" s="1" t="s">
        <v>271</v>
      </c>
      <c r="E74" s="36" t="s">
        <v>271</v>
      </c>
      <c r="F74" s="121">
        <v>0.15857246342146805</v>
      </c>
      <c r="G74" s="178">
        <f>INDEX(data!$A$3:$WXA$1002,MATCH(Selected_County,data!$A$3:$A$1002,),MATCH($C74,data!$A$3:$WXA$3,))</f>
        <v>0.14180929095354522</v>
      </c>
    </row>
    <row r="75" spans="1:7" s="9" customFormat="1" ht="15.75" thickBot="1" x14ac:dyDescent="0.3">
      <c r="A75" s="9">
        <v>71</v>
      </c>
      <c r="B75" s="10" t="s">
        <v>246</v>
      </c>
      <c r="C75" s="9" t="s">
        <v>133</v>
      </c>
      <c r="E75" s="39" t="s">
        <v>133</v>
      </c>
      <c r="F75" s="126">
        <v>1096043</v>
      </c>
      <c r="G75" s="176">
        <f>INDEX(data!$A$3:$WXA$1002,MATCH(Selected_County,data!$A$3:$A$1002,),MATCH($C75,data!$A$3:$WXA$3,))</f>
        <v>6803</v>
      </c>
    </row>
    <row r="76" spans="1:7" x14ac:dyDescent="0.25">
      <c r="A76" s="1">
        <v>72</v>
      </c>
      <c r="B76" s="2" t="s">
        <v>247</v>
      </c>
      <c r="C76" s="1" t="s">
        <v>143</v>
      </c>
      <c r="E76" s="27" t="s">
        <v>143</v>
      </c>
      <c r="F76" s="127">
        <v>72970</v>
      </c>
      <c r="G76" s="165">
        <f>INDEX(data!$A$3:$WXA$1002,MATCH(Selected_County,data!$A$3:$A$1002,),MATCH($C76,data!$A$3:$WXA$3,))</f>
        <v>313</v>
      </c>
    </row>
    <row r="77" spans="1:7" x14ac:dyDescent="0.25">
      <c r="A77" s="1">
        <v>73</v>
      </c>
      <c r="B77" s="1" t="s">
        <v>246</v>
      </c>
      <c r="C77" s="1" t="s">
        <v>272</v>
      </c>
      <c r="E77" s="28" t="s">
        <v>272</v>
      </c>
      <c r="F77" s="120">
        <v>6.6575855144369339E-2</v>
      </c>
      <c r="G77" s="177">
        <f>INDEX(data!$A$3:$WXA$1002,MATCH(Selected_County,data!$A$3:$A$1002,),MATCH($C77,data!$A$3:$WXA$3,))</f>
        <v>4.6009113626341323E-2</v>
      </c>
    </row>
    <row r="78" spans="1:7" x14ac:dyDescent="0.25">
      <c r="A78" s="14">
        <v>1</v>
      </c>
      <c r="B78" s="14" t="str">
        <f>VLOOKUP(A78,A5:B76,2)</f>
        <v>Adams</v>
      </c>
      <c r="C78" s="1" t="s">
        <v>142</v>
      </c>
      <c r="E78" s="24" t="s">
        <v>142</v>
      </c>
      <c r="F78" s="125">
        <v>618898</v>
      </c>
      <c r="G78" s="168">
        <f>INDEX(data!$A$3:$WXA$1002,MATCH(Selected_County,data!$A$3:$A$1002,),MATCH($C78,data!$A$3:$WXA$3,))</f>
        <v>4065</v>
      </c>
    </row>
    <row r="79" spans="1:7" x14ac:dyDescent="0.25">
      <c r="C79" s="1" t="s">
        <v>273</v>
      </c>
      <c r="E79" s="28" t="s">
        <v>273</v>
      </c>
      <c r="F79" s="120">
        <v>0.56466580234534591</v>
      </c>
      <c r="G79" s="177">
        <f>INDEX(data!$A$3:$WXA$1002,MATCH(Selected_County,data!$A$3:$A$1002,),MATCH($C79,data!$A$3:$WXA$3,))</f>
        <v>0.59753050124944873</v>
      </c>
    </row>
    <row r="80" spans="1:7" x14ac:dyDescent="0.25">
      <c r="C80" s="1" t="s">
        <v>141</v>
      </c>
      <c r="E80" s="24" t="s">
        <v>141</v>
      </c>
      <c r="F80" s="125">
        <v>29319</v>
      </c>
      <c r="G80" s="168">
        <f>INDEX(data!$A$3:$WXA$1002,MATCH(Selected_County,data!$A$3:$A$1002,),MATCH($C80,data!$A$3:$WXA$3,))</f>
        <v>159</v>
      </c>
    </row>
    <row r="81" spans="3:7" x14ac:dyDescent="0.25">
      <c r="C81" s="1" t="s">
        <v>274</v>
      </c>
      <c r="E81" s="28" t="s">
        <v>274</v>
      </c>
      <c r="F81" s="120">
        <v>2.6749862915962239E-2</v>
      </c>
      <c r="G81" s="177">
        <f>INDEX(data!$A$3:$WXA$1002,MATCH(Selected_County,data!$A$3:$A$1002,),MATCH($C81,data!$A$3:$WXA$3,))</f>
        <v>2.3372041746288402E-2</v>
      </c>
    </row>
    <row r="82" spans="3:7" x14ac:dyDescent="0.25">
      <c r="C82" s="1" t="s">
        <v>140</v>
      </c>
      <c r="E82" s="24" t="s">
        <v>140</v>
      </c>
      <c r="F82" s="125">
        <v>215540</v>
      </c>
      <c r="G82" s="168">
        <f>INDEX(data!$A$3:$WXA$1002,MATCH(Selected_County,data!$A$3:$A$1002,),MATCH($C82,data!$A$3:$WXA$3,))</f>
        <v>1161</v>
      </c>
    </row>
    <row r="83" spans="3:7" x14ac:dyDescent="0.25">
      <c r="C83" s="1" t="s">
        <v>275</v>
      </c>
      <c r="E83" s="28" t="s">
        <v>275</v>
      </c>
      <c r="F83" s="120">
        <v>0.1966528685462158</v>
      </c>
      <c r="G83" s="177">
        <f>INDEX(data!$A$3:$WXA$1002,MATCH(Selected_County,data!$A$3:$A$1002,),MATCH($C83,data!$A$3:$WXA$3,))</f>
        <v>0.17066000293987946</v>
      </c>
    </row>
    <row r="84" spans="3:7" x14ac:dyDescent="0.25">
      <c r="C84" s="1" t="s">
        <v>139</v>
      </c>
      <c r="E84" s="24" t="s">
        <v>139</v>
      </c>
      <c r="F84" s="125">
        <v>159316</v>
      </c>
      <c r="G84" s="168">
        <f>INDEX(data!$A$3:$WXA$1002,MATCH(Selected_County,data!$A$3:$A$1002,),MATCH($C84,data!$A$3:$WXA$3,))</f>
        <v>1105</v>
      </c>
    </row>
    <row r="85" spans="3:7" ht="15.75" thickBot="1" x14ac:dyDescent="0.3">
      <c r="C85" s="1" t="s">
        <v>276</v>
      </c>
      <c r="E85" s="36" t="s">
        <v>276</v>
      </c>
      <c r="F85" s="121">
        <v>0.14535561104810668</v>
      </c>
      <c r="G85" s="178">
        <f>INDEX(data!$A$3:$WXA$1002,MATCH(Selected_County,data!$A$3:$A$1002,),MATCH($C85,data!$A$3:$WXA$3,))</f>
        <v>0.16242834043804205</v>
      </c>
    </row>
    <row r="86" spans="3:7" ht="15.75" thickBot="1" x14ac:dyDescent="0.3">
      <c r="E86" s="29" t="s">
        <v>335</v>
      </c>
      <c r="F86" s="34"/>
      <c r="G86" s="172"/>
    </row>
    <row r="87" spans="3:7" x14ac:dyDescent="0.25">
      <c r="E87" s="37"/>
      <c r="F87" s="38"/>
      <c r="G87" s="175"/>
    </row>
    <row r="88" spans="3:7" ht="15.75" thickBot="1" x14ac:dyDescent="0.3">
      <c r="E88" s="37"/>
      <c r="F88" s="38"/>
      <c r="G88" s="175"/>
    </row>
    <row r="89" spans="3:7" ht="43.5" customHeight="1" thickBot="1" x14ac:dyDescent="0.3">
      <c r="E89" s="40" t="s">
        <v>309</v>
      </c>
      <c r="F89" s="21" t="s">
        <v>14</v>
      </c>
      <c r="G89" s="22" t="str">
        <f>Selected_County&amp;" County"</f>
        <v>Adams County</v>
      </c>
    </row>
    <row r="90" spans="3:7" s="9" customFormat="1" x14ac:dyDescent="0.25">
      <c r="C90" s="12" t="s">
        <v>325</v>
      </c>
      <c r="E90" s="23" t="s">
        <v>325</v>
      </c>
      <c r="F90" s="128">
        <v>501270</v>
      </c>
      <c r="G90" s="173">
        <f>INDEX(data!$A$3:$WXA$1002,MATCH(Selected_County,data!$A$3:$A$1002,),MATCH($C90,data!$A$3:$WXA$3,))</f>
        <v>3519</v>
      </c>
    </row>
    <row r="91" spans="3:7" x14ac:dyDescent="0.25">
      <c r="C91" s="13" t="s">
        <v>137</v>
      </c>
      <c r="E91" s="24" t="s">
        <v>137</v>
      </c>
      <c r="F91" s="125">
        <v>144564</v>
      </c>
      <c r="G91" s="174">
        <f>INDEX(data!$A$3:$WXA$1002,MATCH(Selected_County,data!$A$3:$A$1002,),MATCH($C91,data!$A$3:$WXA$3,))</f>
        <v>1240</v>
      </c>
    </row>
    <row r="92" spans="3:7" x14ac:dyDescent="0.25">
      <c r="C92" s="15" t="s">
        <v>136</v>
      </c>
      <c r="E92" s="41" t="s">
        <v>136</v>
      </c>
      <c r="F92" s="129">
        <v>0.2883954754922497</v>
      </c>
      <c r="G92" s="179">
        <f>INDEX(data!$A$3:$WXA$1002,MATCH(Selected_County,data!$A$3:$A$1002,),MATCH($C92,data!$A$3:$WXA$3,))</f>
        <v>0.35237283319124751</v>
      </c>
    </row>
    <row r="93" spans="3:7" s="9" customFormat="1" x14ac:dyDescent="0.25">
      <c r="C93" s="16" t="s">
        <v>326</v>
      </c>
      <c r="E93" s="42" t="s">
        <v>326</v>
      </c>
      <c r="F93" s="128">
        <v>568121</v>
      </c>
      <c r="G93" s="180">
        <f>INDEX(data!$A$3:$WXA$1002,MATCH(Selected_County,data!$A$3:$A$1002,),MATCH($C93,data!$A$3:$WXA$3,))</f>
        <v>3241</v>
      </c>
    </row>
    <row r="94" spans="3:7" x14ac:dyDescent="0.25">
      <c r="C94" s="13" t="s">
        <v>135</v>
      </c>
      <c r="E94" s="24" t="s">
        <v>135</v>
      </c>
      <c r="F94" s="125">
        <v>159656</v>
      </c>
      <c r="G94" s="174">
        <f>INDEX(data!$A$3:$WXA$1002,MATCH(Selected_County,data!$A$3:$A$1002,),MATCH($C94,data!$A$3:$WXA$3,))</f>
        <v>1130</v>
      </c>
    </row>
    <row r="95" spans="3:7" x14ac:dyDescent="0.25">
      <c r="C95" s="15" t="s">
        <v>134</v>
      </c>
      <c r="E95" s="41" t="s">
        <v>134</v>
      </c>
      <c r="F95" s="129">
        <v>0.28102464087755952</v>
      </c>
      <c r="G95" s="179">
        <f>INDEX(data!$A$3:$WXA$1002,MATCH(Selected_County,data!$A$3:$A$1002,),MATCH($C95,data!$A$3:$WXA$3,))</f>
        <v>0.34865782165998149</v>
      </c>
    </row>
    <row r="96" spans="3:7" s="9" customFormat="1" x14ac:dyDescent="0.25">
      <c r="C96" s="16" t="s">
        <v>327</v>
      </c>
      <c r="E96" s="42" t="s">
        <v>327</v>
      </c>
      <c r="F96" s="128">
        <v>1069391</v>
      </c>
      <c r="G96" s="180">
        <f>INDEX(data!$A$3:$WXA$1002,MATCH(Selected_County,data!$A$3:$A$1002,),MATCH($C96,data!$A$3:$WXA$3,))</f>
        <v>6760</v>
      </c>
    </row>
    <row r="97" spans="3:7" x14ac:dyDescent="0.25">
      <c r="C97" s="17" t="s">
        <v>132</v>
      </c>
      <c r="E97" s="24" t="s">
        <v>132</v>
      </c>
      <c r="F97" s="130">
        <v>304220</v>
      </c>
      <c r="G97" s="181">
        <f>INDEX(data!$A$3:$WXA$1002,MATCH(Selected_County,data!$A$3:$A$1002,),MATCH($C97,data!$A$3:$WXA$3,))</f>
        <v>2370</v>
      </c>
    </row>
    <row r="98" spans="3:7" ht="15.75" thickBot="1" x14ac:dyDescent="0.3">
      <c r="C98" s="18" t="s">
        <v>131</v>
      </c>
      <c r="E98" s="41" t="s">
        <v>131</v>
      </c>
      <c r="F98" s="131">
        <v>0.28447967113992917</v>
      </c>
      <c r="G98" s="182">
        <f>INDEX(data!$A$3:$WXA$1002,MATCH(Selected_County,data!$A$3:$A$1002,),MATCH($C98,data!$A$3:$WXA$3,))</f>
        <v>0.35059171597633138</v>
      </c>
    </row>
    <row r="99" spans="3:7" ht="15.75" thickBot="1" x14ac:dyDescent="0.3">
      <c r="E99" s="29" t="s">
        <v>336</v>
      </c>
      <c r="F99" s="34"/>
      <c r="G99" s="172"/>
    </row>
    <row r="100" spans="3:7" x14ac:dyDescent="0.25">
      <c r="E100" s="43" t="s">
        <v>330</v>
      </c>
      <c r="F100" s="38"/>
      <c r="G100" s="175"/>
    </row>
    <row r="101" spans="3:7" ht="15.75" thickBot="1" x14ac:dyDescent="0.3">
      <c r="E101" s="37"/>
      <c r="F101" s="38"/>
      <c r="G101" s="175"/>
    </row>
    <row r="102" spans="3:7" ht="34.5" customHeight="1" thickBot="1" x14ac:dyDescent="0.3">
      <c r="E102" s="20" t="s">
        <v>287</v>
      </c>
      <c r="F102" s="21" t="s">
        <v>14</v>
      </c>
      <c r="G102" s="22" t="str">
        <f>Selected_County&amp;" County"</f>
        <v>Adams County</v>
      </c>
    </row>
    <row r="103" spans="3:7" s="9" customFormat="1" x14ac:dyDescent="0.25">
      <c r="C103" s="9" t="s">
        <v>130</v>
      </c>
      <c r="E103" s="23" t="s">
        <v>130</v>
      </c>
      <c r="F103" s="132">
        <v>1096043</v>
      </c>
      <c r="G103" s="164">
        <f>INDEX(data!$A$3:$WXA$1002,MATCH(Selected_County,data!$A$3:$A$1002,),MATCH($C103,data!$A$3:$WXA$3,))</f>
        <v>6803</v>
      </c>
    </row>
    <row r="104" spans="3:7" x14ac:dyDescent="0.25">
      <c r="C104" s="1" t="s">
        <v>129</v>
      </c>
      <c r="E104" s="24" t="s">
        <v>129</v>
      </c>
      <c r="F104" s="125">
        <v>320658</v>
      </c>
      <c r="G104" s="168">
        <f>INDEX(data!$A$3:$WXA$1002,MATCH(Selected_County,data!$A$3:$A$1002,),MATCH($C104,data!$A$3:$WXA$3,))</f>
        <v>1740</v>
      </c>
    </row>
    <row r="105" spans="3:7" ht="15.75" thickBot="1" x14ac:dyDescent="0.3">
      <c r="C105" s="1" t="s">
        <v>278</v>
      </c>
      <c r="E105" s="44" t="s">
        <v>278</v>
      </c>
      <c r="F105" s="121">
        <v>0.29255968972020258</v>
      </c>
      <c r="G105" s="178">
        <f>INDEX(data!$A$3:$WXA$1002,MATCH(Selected_County,data!$A$3:$A$1002,),MATCH($C105,data!$A$3:$WXA$3,))</f>
        <v>0.25576951344994853</v>
      </c>
    </row>
    <row r="106" spans="3:7" s="9" customFormat="1" ht="15.75" thickBot="1" x14ac:dyDescent="0.3">
      <c r="C106" s="9" t="s">
        <v>49</v>
      </c>
      <c r="E106" s="39" t="s">
        <v>49</v>
      </c>
      <c r="F106" s="126">
        <v>510727</v>
      </c>
      <c r="G106" s="176">
        <f>INDEX(data!$A$3:$WXA$1002,MATCH(Selected_County,data!$A$3:$A$1002,),MATCH($C106,data!$A$3:$WXA$3,))</f>
        <v>3531</v>
      </c>
    </row>
    <row r="107" spans="3:7" x14ac:dyDescent="0.25">
      <c r="C107" s="1" t="s">
        <v>128</v>
      </c>
      <c r="E107" s="27" t="s">
        <v>128</v>
      </c>
      <c r="F107" s="127">
        <v>109743</v>
      </c>
      <c r="G107" s="165">
        <f>INDEX(data!$A$3:$WXA$1002,MATCH(Selected_County,data!$A$3:$A$1002,),MATCH($C107,data!$A$3:$WXA$3,))</f>
        <v>901</v>
      </c>
    </row>
    <row r="108" spans="3:7" ht="15.75" thickBot="1" x14ac:dyDescent="0.3">
      <c r="C108" s="1" t="s">
        <v>279</v>
      </c>
      <c r="E108" s="36" t="s">
        <v>279</v>
      </c>
      <c r="F108" s="121">
        <v>0.21487604923961334</v>
      </c>
      <c r="G108" s="178">
        <f>INDEX(data!$A$3:$WXA$1002,MATCH(Selected_County,data!$A$3:$A$1002,),MATCH($C108,data!$A$3:$WXA$3,))</f>
        <v>0.25516850750495612</v>
      </c>
    </row>
    <row r="109" spans="3:7" s="9" customFormat="1" ht="15.75" thickBot="1" x14ac:dyDescent="0.3">
      <c r="C109" s="9" t="s">
        <v>127</v>
      </c>
      <c r="E109" s="39" t="s">
        <v>127</v>
      </c>
      <c r="F109" s="126">
        <v>585316</v>
      </c>
      <c r="G109" s="176">
        <f>INDEX(data!$A$3:$WXA$1002,MATCH(Selected_County,data!$A$3:$A$1002,),MATCH($C109,data!$A$3:$WXA$3,))</f>
        <v>3272</v>
      </c>
    </row>
    <row r="110" spans="3:7" x14ac:dyDescent="0.25">
      <c r="C110" s="1" t="s">
        <v>126</v>
      </c>
      <c r="E110" s="33" t="s">
        <v>126</v>
      </c>
      <c r="F110" s="133">
        <v>210915</v>
      </c>
      <c r="G110" s="183">
        <f>INDEX(data!$A$3:$WXA$1002,MATCH(Selected_County,data!$A$3:$A$1002,),MATCH($C110,data!$A$3:$WXA$3,))</f>
        <v>839</v>
      </c>
    </row>
    <row r="111" spans="3:7" ht="15.75" thickBot="1" x14ac:dyDescent="0.3">
      <c r="C111" s="1" t="s">
        <v>280</v>
      </c>
      <c r="E111" s="36" t="s">
        <v>280</v>
      </c>
      <c r="F111" s="121">
        <v>0.36034381428151629</v>
      </c>
      <c r="G111" s="178">
        <f>INDEX(data!$A$3:$WXA$1002,MATCH(Selected_County,data!$A$3:$A$1002,),MATCH($C111,data!$A$3:$WXA$3,))</f>
        <v>0.25641809290953543</v>
      </c>
    </row>
    <row r="112" spans="3:7" ht="15.75" thickBot="1" x14ac:dyDescent="0.3">
      <c r="E112" s="29" t="s">
        <v>337</v>
      </c>
      <c r="F112" s="30"/>
      <c r="G112" s="170"/>
    </row>
    <row r="113" spans="3:7" x14ac:dyDescent="0.25">
      <c r="E113" s="37"/>
      <c r="F113" s="38"/>
      <c r="G113" s="175"/>
    </row>
    <row r="114" spans="3:7" ht="15.75" thickBot="1" x14ac:dyDescent="0.3">
      <c r="E114" s="31"/>
      <c r="F114" s="32"/>
      <c r="G114" s="68"/>
    </row>
    <row r="115" spans="3:7" ht="35.25" customHeight="1" thickBot="1" x14ac:dyDescent="0.3">
      <c r="E115" s="20" t="s">
        <v>345</v>
      </c>
      <c r="F115" s="21" t="s">
        <v>14</v>
      </c>
      <c r="G115" s="22" t="str">
        <f>Selected_County&amp;" County"</f>
        <v>Adams County</v>
      </c>
    </row>
    <row r="116" spans="3:7" ht="15.75" thickBot="1" x14ac:dyDescent="0.3">
      <c r="C116" s="1" t="s">
        <v>125</v>
      </c>
      <c r="E116" s="39" t="s">
        <v>125</v>
      </c>
      <c r="F116" s="134">
        <v>5960975</v>
      </c>
      <c r="G116" s="184">
        <f>INDEX(data!$A$3:$WXA$1002,MATCH(Selected_County,data!$A$3:$A$1002,),MATCH($C116,data!$A$3:$WXA$3,))</f>
        <v>21352</v>
      </c>
    </row>
    <row r="117" spans="3:7" x14ac:dyDescent="0.25">
      <c r="C117" s="1" t="s">
        <v>124</v>
      </c>
      <c r="E117" s="27" t="s">
        <v>124</v>
      </c>
      <c r="F117" s="127">
        <v>1168733</v>
      </c>
      <c r="G117" s="165">
        <f>INDEX(data!$A$3:$WXA$1002,MATCH(Selected_County,data!$A$3:$A$1002,),MATCH($C117,data!$A$3:$WXA$3,))</f>
        <v>7276</v>
      </c>
    </row>
    <row r="118" spans="3:7" x14ac:dyDescent="0.25">
      <c r="C118" s="1" t="s">
        <v>123</v>
      </c>
      <c r="E118" s="25" t="s">
        <v>123</v>
      </c>
      <c r="F118" s="120">
        <v>0.19606406670049781</v>
      </c>
      <c r="G118" s="177">
        <f>INDEX(data!$A$3:$WXA$1002,MATCH(Selected_County,data!$A$3:$A$1002,),MATCH($C118,data!$A$3:$WXA$3,))</f>
        <v>0.34076433121019106</v>
      </c>
    </row>
    <row r="119" spans="3:7" ht="15.75" thickBot="1" x14ac:dyDescent="0.3">
      <c r="C119" s="1" t="s">
        <v>122</v>
      </c>
      <c r="E119" s="26" t="s">
        <v>122</v>
      </c>
      <c r="F119" s="122">
        <v>1</v>
      </c>
      <c r="G119" s="185">
        <f>INDEX(data!$A$3:$WXA$1002,MATCH(Selected_County,data!$A$3:$A$1002,),MATCH($C119,data!$A$3:$WXA$3,))</f>
        <v>1</v>
      </c>
    </row>
    <row r="120" spans="3:7" ht="15.75" thickBot="1" x14ac:dyDescent="0.3">
      <c r="C120" s="1" t="s">
        <v>121</v>
      </c>
      <c r="E120" s="39" t="s">
        <v>311</v>
      </c>
      <c r="F120" s="126">
        <v>4704156</v>
      </c>
      <c r="G120" s="176">
        <f>INDEX(data!$A$3:$WXA$1002,MATCH(Selected_County,data!$A$3:$A$1002,),MATCH($C120,data!$A$3:$WXA$3,))</f>
        <v>19105</v>
      </c>
    </row>
    <row r="121" spans="3:7" x14ac:dyDescent="0.25">
      <c r="C121" s="1" t="s">
        <v>120</v>
      </c>
      <c r="E121" s="27" t="s">
        <v>120</v>
      </c>
      <c r="F121" s="127">
        <v>1076580</v>
      </c>
      <c r="G121" s="165">
        <f>INDEX(data!$A$3:$WXA$1002,MATCH(Selected_County,data!$A$3:$A$1002,),MATCH($C121,data!$A$3:$WXA$3,))</f>
        <v>7026</v>
      </c>
    </row>
    <row r="122" spans="3:7" x14ac:dyDescent="0.25">
      <c r="C122" s="1" t="s">
        <v>119</v>
      </c>
      <c r="E122" s="25" t="s">
        <v>119</v>
      </c>
      <c r="F122" s="120">
        <v>0.22885720626611872</v>
      </c>
      <c r="G122" s="177">
        <f>INDEX(data!$A$3:$WXA$1002,MATCH(Selected_County,data!$A$3:$A$1002,),MATCH($C122,data!$A$3:$WXA$3,))</f>
        <v>0.36775713164093171</v>
      </c>
    </row>
    <row r="123" spans="3:7" ht="15.75" thickBot="1" x14ac:dyDescent="0.3">
      <c r="C123" s="1" t="s">
        <v>118</v>
      </c>
      <c r="E123" s="44" t="s">
        <v>118</v>
      </c>
      <c r="F123" s="121">
        <v>0.92115136647976914</v>
      </c>
      <c r="G123" s="178">
        <f>INDEX(data!$A$3:$WXA$1002,MATCH(Selected_County,data!$A$3:$A$1002,),MATCH($C123,data!$A$3:$WXA$3,))</f>
        <v>0.96564046179219354</v>
      </c>
    </row>
    <row r="124" spans="3:7" ht="15.75" thickBot="1" x14ac:dyDescent="0.3">
      <c r="C124" s="1" t="s">
        <v>117</v>
      </c>
      <c r="E124" s="39" t="s">
        <v>312</v>
      </c>
      <c r="F124" s="126">
        <v>376518</v>
      </c>
      <c r="G124" s="176">
        <f>INDEX(data!$A$3:$WXA$1002,MATCH(Selected_County,data!$A$3:$A$1002,),MATCH($C124,data!$A$3:$WXA$3,))</f>
        <v>624</v>
      </c>
    </row>
    <row r="125" spans="3:7" x14ac:dyDescent="0.25">
      <c r="C125" s="1" t="s">
        <v>116</v>
      </c>
      <c r="E125" s="27" t="s">
        <v>116</v>
      </c>
      <c r="F125" s="127">
        <v>36846</v>
      </c>
      <c r="G125" s="165">
        <f>INDEX(data!$A$3:$WXA$1002,MATCH(Selected_County,data!$A$3:$A$1002,),MATCH($C125,data!$A$3:$WXA$3,))</f>
        <v>47</v>
      </c>
    </row>
    <row r="126" spans="3:7" x14ac:dyDescent="0.25">
      <c r="C126" s="1" t="s">
        <v>115</v>
      </c>
      <c r="E126" s="25" t="s">
        <v>115</v>
      </c>
      <c r="F126" s="120">
        <v>9.7859863273469003E-2</v>
      </c>
      <c r="G126" s="177">
        <f>INDEX(data!$A$3:$WXA$1002,MATCH(Selected_County,data!$A$3:$A$1002,),MATCH($C126,data!$A$3:$WXA$3,))</f>
        <v>7.5320512820512817E-2</v>
      </c>
    </row>
    <row r="127" spans="3:7" ht="15.75" thickBot="1" x14ac:dyDescent="0.3">
      <c r="C127" s="1" t="s">
        <v>114</v>
      </c>
      <c r="E127" s="44" t="s">
        <v>114</v>
      </c>
      <c r="F127" s="121">
        <v>3.1526447871327329E-2</v>
      </c>
      <c r="G127" s="178">
        <f>INDEX(data!$A$3:$WXA$1002,MATCH(Selected_County,data!$A$3:$A$1002,),MATCH($C127,data!$A$3:$WXA$3,))</f>
        <v>6.4595931830676197E-3</v>
      </c>
    </row>
    <row r="128" spans="3:7" ht="15.75" thickBot="1" x14ac:dyDescent="0.3">
      <c r="C128" s="1" t="s">
        <v>113</v>
      </c>
      <c r="E128" s="39" t="s">
        <v>313</v>
      </c>
      <c r="F128" s="126">
        <v>52129</v>
      </c>
      <c r="G128" s="176">
        <f>INDEX(data!$A$3:$WXA$1002,MATCH(Selected_County,data!$A$3:$A$1002,),MATCH($C128,data!$A$3:$WXA$3,))</f>
        <v>201</v>
      </c>
    </row>
    <row r="129" spans="3:7" x14ac:dyDescent="0.25">
      <c r="C129" s="1" t="s">
        <v>112</v>
      </c>
      <c r="E129" s="27" t="s">
        <v>112</v>
      </c>
      <c r="F129" s="127">
        <v>7377</v>
      </c>
      <c r="G129" s="165">
        <f>INDEX(data!$A$3:$WXA$1002,MATCH(Selected_County,data!$A$3:$A$1002,),MATCH($C129,data!$A$3:$WXA$3,))</f>
        <v>33</v>
      </c>
    </row>
    <row r="130" spans="3:7" x14ac:dyDescent="0.25">
      <c r="C130" s="1" t="s">
        <v>111</v>
      </c>
      <c r="E130" s="25" t="s">
        <v>111</v>
      </c>
      <c r="F130" s="120">
        <v>0.14151432024401006</v>
      </c>
      <c r="G130" s="177">
        <f>INDEX(data!$A$3:$WXA$1002,MATCH(Selected_County,data!$A$3:$A$1002,),MATCH($C130,data!$A$3:$WXA$3,))</f>
        <v>0.16417910447761194</v>
      </c>
    </row>
    <row r="131" spans="3:7" ht="15.75" thickBot="1" x14ac:dyDescent="0.3">
      <c r="C131" s="1" t="s">
        <v>110</v>
      </c>
      <c r="E131" s="44" t="s">
        <v>110</v>
      </c>
      <c r="F131" s="121">
        <v>6.311963468131729E-3</v>
      </c>
      <c r="G131" s="178">
        <f>INDEX(data!$A$3:$WXA$1002,MATCH(Selected_County,data!$A$3:$A$1002,),MATCH($C131,data!$A$3:$WXA$3,))</f>
        <v>4.5354590434304566E-3</v>
      </c>
    </row>
    <row r="132" spans="3:7" ht="15.75" thickBot="1" x14ac:dyDescent="0.3">
      <c r="C132" s="1" t="s">
        <v>109</v>
      </c>
      <c r="E132" s="39" t="s">
        <v>314</v>
      </c>
      <c r="F132" s="126">
        <v>206457</v>
      </c>
      <c r="G132" s="176">
        <f>INDEX(data!$A$3:$WXA$1002,MATCH(Selected_County,data!$A$3:$A$1002,),MATCH($C132,data!$A$3:$WXA$3,))</f>
        <v>137</v>
      </c>
    </row>
    <row r="133" spans="3:7" x14ac:dyDescent="0.25">
      <c r="C133" s="1" t="s">
        <v>108</v>
      </c>
      <c r="E133" s="27" t="s">
        <v>108</v>
      </c>
      <c r="F133" s="127">
        <v>14292</v>
      </c>
      <c r="G133" s="165">
        <f>INDEX(data!$A$3:$WXA$1002,MATCH(Selected_County,data!$A$3:$A$1002,),MATCH($C133,data!$A$3:$WXA$3,))</f>
        <v>26</v>
      </c>
    </row>
    <row r="134" spans="3:7" x14ac:dyDescent="0.25">
      <c r="C134" s="1" t="s">
        <v>107</v>
      </c>
      <c r="E134" s="25" t="s">
        <v>107</v>
      </c>
      <c r="F134" s="120">
        <v>6.9225068658364697E-2</v>
      </c>
      <c r="G134" s="177">
        <f>INDEX(data!$A$3:$WXA$1002,MATCH(Selected_County,data!$A$3:$A$1002,),MATCH($C134,data!$A$3:$WXA$3,))</f>
        <v>0.18978102189781021</v>
      </c>
    </row>
    <row r="135" spans="3:7" ht="15.75" thickBot="1" x14ac:dyDescent="0.3">
      <c r="C135" s="1" t="s">
        <v>106</v>
      </c>
      <c r="E135" s="44" t="s">
        <v>106</v>
      </c>
      <c r="F135" s="121">
        <v>1.2228627068800145E-2</v>
      </c>
      <c r="G135" s="178">
        <f>INDEX(data!$A$3:$WXA$1002,MATCH(Selected_County,data!$A$3:$A$1002,),MATCH($C135,data!$A$3:$WXA$3,))</f>
        <v>3.5733919736118747E-3</v>
      </c>
    </row>
    <row r="136" spans="3:7" ht="15.75" thickBot="1" x14ac:dyDescent="0.3">
      <c r="C136" s="1" t="s">
        <v>105</v>
      </c>
      <c r="E136" s="39" t="s">
        <v>315</v>
      </c>
      <c r="F136" s="126">
        <v>2518</v>
      </c>
      <c r="G136" s="186">
        <f>INDEX(data!$A$3:$WXA$1002,MATCH(Selected_County,data!$A$3:$A$1002,),MATCH($C136,data!$A$3:$WXA$3,))</f>
        <v>7</v>
      </c>
    </row>
    <row r="137" spans="3:7" x14ac:dyDescent="0.25">
      <c r="C137" s="1" t="s">
        <v>104</v>
      </c>
      <c r="E137" s="27" t="s">
        <v>104</v>
      </c>
      <c r="F137" s="127">
        <v>299</v>
      </c>
      <c r="G137" s="187">
        <f>INDEX(data!$A$3:$WXA$1002,MATCH(Selected_County,data!$A$3:$A$1002,),MATCH($C137,data!$A$3:$WXA$3,))</f>
        <v>1</v>
      </c>
    </row>
    <row r="138" spans="3:7" x14ac:dyDescent="0.25">
      <c r="C138" s="1" t="s">
        <v>103</v>
      </c>
      <c r="E138" s="25" t="s">
        <v>103</v>
      </c>
      <c r="F138" s="120">
        <v>0.1187450357426529</v>
      </c>
      <c r="G138" s="177">
        <f>INDEX(data!$A$3:$WXA$1002,MATCH(Selected_County,data!$A$3:$A$1002,),MATCH($C138,data!$A$3:$WXA$3,))</f>
        <v>0.14285714285714285</v>
      </c>
    </row>
    <row r="139" spans="3:7" ht="15.75" thickBot="1" x14ac:dyDescent="0.3">
      <c r="C139" s="1" t="s">
        <v>102</v>
      </c>
      <c r="E139" s="44" t="s">
        <v>102</v>
      </c>
      <c r="F139" s="121">
        <v>2.5583259820677605E-4</v>
      </c>
      <c r="G139" s="178">
        <f>INDEX(data!$A$3:$WXA$1002,MATCH(Selected_County,data!$A$3:$A$1002,),MATCH($C139,data!$A$3:$WXA$3,))</f>
        <v>1.3743815283122595E-4</v>
      </c>
    </row>
    <row r="140" spans="3:7" ht="15.75" thickBot="1" x14ac:dyDescent="0.3">
      <c r="C140" s="1" t="s">
        <v>101</v>
      </c>
      <c r="E140" s="39" t="s">
        <v>316</v>
      </c>
      <c r="F140" s="126">
        <v>118928</v>
      </c>
      <c r="G140" s="176">
        <f>INDEX(data!$A$3:$WXA$1002,MATCH(Selected_County,data!$A$3:$A$1002,),MATCH($C140,data!$A$3:$WXA$3,))</f>
        <v>291</v>
      </c>
    </row>
    <row r="141" spans="3:7" x14ac:dyDescent="0.25">
      <c r="C141" s="1" t="s">
        <v>100</v>
      </c>
      <c r="E141" s="27" t="s">
        <v>100</v>
      </c>
      <c r="F141" s="127">
        <v>5630</v>
      </c>
      <c r="G141" s="165">
        <f>INDEX(data!$A$3:$WXA$1002,MATCH(Selected_County,data!$A$3:$A$1002,),MATCH($C141,data!$A$3:$WXA$3,))</f>
        <v>47</v>
      </c>
    </row>
    <row r="142" spans="3:7" x14ac:dyDescent="0.25">
      <c r="C142" s="1" t="s">
        <v>99</v>
      </c>
      <c r="E142" s="25" t="s">
        <v>99</v>
      </c>
      <c r="F142" s="120">
        <v>4.7339566796717344E-2</v>
      </c>
      <c r="G142" s="177">
        <f>INDEX(data!$A$3:$WXA$1002,MATCH(Selected_County,data!$A$3:$A$1002,),MATCH($C142,data!$A$3:$WXA$3,))</f>
        <v>0.16151202749140894</v>
      </c>
    </row>
    <row r="143" spans="3:7" ht="15.75" thickBot="1" x14ac:dyDescent="0.3">
      <c r="C143" s="1" t="s">
        <v>98</v>
      </c>
      <c r="E143" s="44" t="s">
        <v>98</v>
      </c>
      <c r="F143" s="121">
        <v>4.8171823675724054E-3</v>
      </c>
      <c r="G143" s="178">
        <f>INDEX(data!$A$3:$WXA$1002,MATCH(Selected_County,data!$A$3:$A$1002,),MATCH($C143,data!$A$3:$WXA$3,))</f>
        <v>6.4595931830676197E-3</v>
      </c>
    </row>
    <row r="144" spans="3:7" ht="15.75" thickBot="1" x14ac:dyDescent="0.3">
      <c r="C144" s="1" t="s">
        <v>97</v>
      </c>
      <c r="E144" s="39" t="s">
        <v>317</v>
      </c>
      <c r="F144" s="126">
        <v>500269</v>
      </c>
      <c r="G144" s="176">
        <f>INDEX(data!$A$3:$WXA$1002,MATCH(Selected_County,data!$A$3:$A$1002,),MATCH($C144,data!$A$3:$WXA$3,))</f>
        <v>987</v>
      </c>
    </row>
    <row r="145" spans="3:7" x14ac:dyDescent="0.25">
      <c r="C145" s="1" t="s">
        <v>96</v>
      </c>
      <c r="E145" s="27" t="s">
        <v>96</v>
      </c>
      <c r="F145" s="127">
        <v>27709</v>
      </c>
      <c r="G145" s="165">
        <f>INDEX(data!$A$3:$WXA$1002,MATCH(Selected_County,data!$A$3:$A$1002,),MATCH($C145,data!$A$3:$WXA$3,))</f>
        <v>96</v>
      </c>
    </row>
    <row r="146" spans="3:7" x14ac:dyDescent="0.25">
      <c r="C146" s="1" t="s">
        <v>95</v>
      </c>
      <c r="E146" s="25" t="s">
        <v>95</v>
      </c>
      <c r="F146" s="120">
        <v>5.5388201147782493E-2</v>
      </c>
      <c r="G146" s="177">
        <f>INDEX(data!$A$3:$WXA$1002,MATCH(Selected_County,data!$A$3:$A$1002,),MATCH($C146,data!$A$3:$WXA$3,))</f>
        <v>9.7264437689969604E-2</v>
      </c>
    </row>
    <row r="147" spans="3:7" ht="15.75" thickBot="1" x14ac:dyDescent="0.3">
      <c r="C147" s="1" t="s">
        <v>94</v>
      </c>
      <c r="E147" s="44" t="s">
        <v>94</v>
      </c>
      <c r="F147" s="121">
        <v>2.3708580146192502E-2</v>
      </c>
      <c r="G147" s="178">
        <f>INDEX(data!$A$3:$WXA$1002,MATCH(Selected_County,data!$A$3:$A$1002,),MATCH($C147,data!$A$3:$WXA$3,))</f>
        <v>1.3194062671797692E-2</v>
      </c>
    </row>
    <row r="148" spans="3:7" ht="15.75" thickBot="1" x14ac:dyDescent="0.3">
      <c r="E148" s="29" t="s">
        <v>346</v>
      </c>
      <c r="F148" s="45"/>
      <c r="G148" s="188"/>
    </row>
    <row r="149" spans="3:7" x14ac:dyDescent="0.25">
      <c r="E149" s="31"/>
      <c r="F149" s="32"/>
      <c r="G149" s="68"/>
    </row>
    <row r="150" spans="3:7" ht="15.75" thickBot="1" x14ac:dyDescent="0.3">
      <c r="E150" s="31"/>
      <c r="F150" s="32"/>
      <c r="G150" s="68"/>
    </row>
    <row r="151" spans="3:7" ht="31.5" customHeight="1" thickBot="1" x14ac:dyDescent="0.3">
      <c r="E151" s="20" t="s">
        <v>307</v>
      </c>
      <c r="F151" s="21" t="s">
        <v>14</v>
      </c>
      <c r="G151" s="22" t="str">
        <f>Selected_County&amp;" County"</f>
        <v>Adams County</v>
      </c>
    </row>
    <row r="152" spans="3:7" ht="15.75" thickBot="1" x14ac:dyDescent="0.3">
      <c r="C152" s="1" t="s">
        <v>93</v>
      </c>
      <c r="E152" s="39" t="s">
        <v>93</v>
      </c>
      <c r="F152" s="126">
        <v>510727</v>
      </c>
      <c r="G152" s="176">
        <f>INDEX(data!$A$3:$WXA$1002,MATCH(Selected_County,data!$A$3:$A$1002,),MATCH($C152,data!$A$3:$WXA$3,))</f>
        <v>3531</v>
      </c>
    </row>
    <row r="153" spans="3:7" x14ac:dyDescent="0.25">
      <c r="C153" s="1" t="s">
        <v>92</v>
      </c>
      <c r="E153" s="27" t="s">
        <v>92</v>
      </c>
      <c r="F153" s="127">
        <v>37962</v>
      </c>
      <c r="G153" s="165">
        <f>INDEX(data!$A$3:$WXA$1002,MATCH(Selected_County,data!$A$3:$A$1002,),MATCH($C153,data!$A$3:$WXA$3,))</f>
        <v>458</v>
      </c>
    </row>
    <row r="154" spans="3:7" x14ac:dyDescent="0.25">
      <c r="C154" s="1" t="s">
        <v>91</v>
      </c>
      <c r="E154" s="24" t="s">
        <v>91</v>
      </c>
      <c r="F154" s="125">
        <v>179581</v>
      </c>
      <c r="G154" s="168">
        <f>INDEX(data!$A$3:$WXA$1002,MATCH(Selected_County,data!$A$3:$A$1002,),MATCH($C154,data!$A$3:$WXA$3,))</f>
        <v>1466</v>
      </c>
    </row>
    <row r="155" spans="3:7" x14ac:dyDescent="0.25">
      <c r="C155" s="1" t="s">
        <v>90</v>
      </c>
      <c r="E155" s="24" t="s">
        <v>90</v>
      </c>
      <c r="F155" s="125">
        <v>142801</v>
      </c>
      <c r="G155" s="168">
        <f>INDEX(data!$A$3:$WXA$1002,MATCH(Selected_County,data!$A$3:$A$1002,),MATCH($C155,data!$A$3:$WXA$3,))</f>
        <v>923</v>
      </c>
    </row>
    <row r="156" spans="3:7" x14ac:dyDescent="0.25">
      <c r="C156" s="1" t="s">
        <v>89</v>
      </c>
      <c r="E156" s="24" t="s">
        <v>89</v>
      </c>
      <c r="F156" s="125">
        <v>150383</v>
      </c>
      <c r="G156" s="168">
        <f>INDEX(data!$A$3:$WXA$1002,MATCH(Selected_County,data!$A$3:$A$1002,),MATCH($C156,data!$A$3:$WXA$3,))</f>
        <v>684</v>
      </c>
    </row>
    <row r="157" spans="3:7" x14ac:dyDescent="0.25">
      <c r="C157" s="1" t="s">
        <v>88</v>
      </c>
      <c r="E157" s="28" t="s">
        <v>88</v>
      </c>
      <c r="F157" s="120">
        <v>7.4329338374513193E-2</v>
      </c>
      <c r="G157" s="177">
        <f>INDEX(data!$A$3:$WXA$1002,MATCH(Selected_County,data!$A$3:$A$1002,),MATCH($C157,data!$A$3:$WXA$3,))</f>
        <v>0.129708297932597</v>
      </c>
    </row>
    <row r="158" spans="3:7" x14ac:dyDescent="0.25">
      <c r="C158" s="1" t="s">
        <v>87</v>
      </c>
      <c r="E158" s="28" t="s">
        <v>87</v>
      </c>
      <c r="F158" s="120">
        <v>0.35161837929069739</v>
      </c>
      <c r="G158" s="177">
        <f>INDEX(data!$A$3:$WXA$1002,MATCH(Selected_County,data!$A$3:$A$1002,),MATCH($C158,data!$A$3:$WXA$3,))</f>
        <v>0.41517983574058342</v>
      </c>
    </row>
    <row r="159" spans="3:7" ht="15.75" thickBot="1" x14ac:dyDescent="0.3">
      <c r="C159" s="1" t="s">
        <v>86</v>
      </c>
      <c r="E159" s="36" t="s">
        <v>86</v>
      </c>
      <c r="F159" s="121">
        <v>0.57405228233478944</v>
      </c>
      <c r="G159" s="178">
        <f>INDEX(data!$A$3:$WXA$1002,MATCH(Selected_County,data!$A$3:$A$1002,),MATCH($C159,data!$A$3:$WXA$3,))</f>
        <v>0.4551118663268196</v>
      </c>
    </row>
    <row r="160" spans="3:7" ht="15.75" thickBot="1" x14ac:dyDescent="0.3">
      <c r="C160" s="1" t="s">
        <v>85</v>
      </c>
      <c r="E160" s="39" t="s">
        <v>85</v>
      </c>
      <c r="F160" s="126">
        <v>585316</v>
      </c>
      <c r="G160" s="176">
        <f>INDEX(data!$A$3:$WXA$1002,MATCH(Selected_County,data!$A$3:$A$1002,),MATCH($C160,data!$A$3:$WXA$3,))</f>
        <v>3272</v>
      </c>
    </row>
    <row r="161" spans="3:7" x14ac:dyDescent="0.25">
      <c r="C161" s="1" t="s">
        <v>84</v>
      </c>
      <c r="E161" s="27" t="s">
        <v>84</v>
      </c>
      <c r="F161" s="127">
        <v>39828</v>
      </c>
      <c r="G161" s="165">
        <f>INDEX(data!$A$3:$WXA$1002,MATCH(Selected_County,data!$A$3:$A$1002,),MATCH($C161,data!$A$3:$WXA$3,))</f>
        <v>319</v>
      </c>
    </row>
    <row r="162" spans="3:7" x14ac:dyDescent="0.25">
      <c r="C162" s="1" t="s">
        <v>83</v>
      </c>
      <c r="E162" s="24" t="s">
        <v>83</v>
      </c>
      <c r="F162" s="125">
        <v>230513</v>
      </c>
      <c r="G162" s="168">
        <f>INDEX(data!$A$3:$WXA$1002,MATCH(Selected_County,data!$A$3:$A$1002,),MATCH($C162,data!$A$3:$WXA$3,))</f>
        <v>1372</v>
      </c>
    </row>
    <row r="163" spans="3:7" x14ac:dyDescent="0.25">
      <c r="C163" s="1" t="s">
        <v>82</v>
      </c>
      <c r="E163" s="24" t="s">
        <v>82</v>
      </c>
      <c r="F163" s="125">
        <v>164474</v>
      </c>
      <c r="G163" s="168">
        <f>INDEX(data!$A$3:$WXA$1002,MATCH(Selected_County,data!$A$3:$A$1002,),MATCH($C163,data!$A$3:$WXA$3,))</f>
        <v>1095</v>
      </c>
    </row>
    <row r="164" spans="3:7" x14ac:dyDescent="0.25">
      <c r="C164" s="1" t="s">
        <v>81</v>
      </c>
      <c r="E164" s="24" t="s">
        <v>81</v>
      </c>
      <c r="F164" s="125">
        <v>150501</v>
      </c>
      <c r="G164" s="168">
        <f>INDEX(data!$A$3:$WXA$1002,MATCH(Selected_County,data!$A$3:$A$1002,),MATCH($C164,data!$A$3:$WXA$3,))</f>
        <v>486</v>
      </c>
    </row>
    <row r="165" spans="3:7" x14ac:dyDescent="0.25">
      <c r="C165" s="1" t="s">
        <v>80</v>
      </c>
      <c r="E165" s="28" t="s">
        <v>80</v>
      </c>
      <c r="F165" s="120">
        <v>6.804529519097377E-2</v>
      </c>
      <c r="G165" s="177">
        <f>INDEX(data!$A$3:$WXA$1002,MATCH(Selected_County,data!$A$3:$A$1002,),MATCH($C165,data!$A$3:$WXA$3,))</f>
        <v>9.7493887530562345E-2</v>
      </c>
    </row>
    <row r="166" spans="3:7" x14ac:dyDescent="0.25">
      <c r="C166" s="1" t="s">
        <v>79</v>
      </c>
      <c r="E166" s="28" t="s">
        <v>79</v>
      </c>
      <c r="F166" s="120">
        <v>0.39382658256394837</v>
      </c>
      <c r="G166" s="177">
        <f>INDEX(data!$A$3:$WXA$1002,MATCH(Selected_County,data!$A$3:$A$1002,),MATCH($C166,data!$A$3:$WXA$3,))</f>
        <v>0.4193154034229829</v>
      </c>
    </row>
    <row r="167" spans="3:7" ht="15.75" thickBot="1" x14ac:dyDescent="0.3">
      <c r="C167" s="1" t="s">
        <v>78</v>
      </c>
      <c r="E167" s="36" t="s">
        <v>78</v>
      </c>
      <c r="F167" s="121">
        <v>0.53812812224507789</v>
      </c>
      <c r="G167" s="178">
        <f>INDEX(data!$A$3:$WXA$1002,MATCH(Selected_County,data!$A$3:$A$1002,),MATCH($C167,data!$A$3:$WXA$3,))</f>
        <v>0.48319070904645478</v>
      </c>
    </row>
    <row r="168" spans="3:7" ht="15.75" thickBot="1" x14ac:dyDescent="0.3">
      <c r="C168" s="1" t="s">
        <v>77</v>
      </c>
      <c r="E168" s="39" t="s">
        <v>77</v>
      </c>
      <c r="F168" s="126">
        <v>1096043</v>
      </c>
      <c r="G168" s="176">
        <f>INDEX(data!$A$3:$WXA$1002,MATCH(Selected_County,data!$A$3:$A$1002,),MATCH($C168,data!$A$3:$WXA$3,))</f>
        <v>6803</v>
      </c>
    </row>
    <row r="169" spans="3:7" x14ac:dyDescent="0.25">
      <c r="C169" s="1" t="s">
        <v>76</v>
      </c>
      <c r="E169" s="27" t="s">
        <v>76</v>
      </c>
      <c r="F169" s="127">
        <v>77790</v>
      </c>
      <c r="G169" s="165">
        <f>INDEX(data!$A$3:$WXA$1002,MATCH(Selected_County,data!$A$3:$A$1002,),MATCH($C169,data!$A$3:$WXA$3,))</f>
        <v>777</v>
      </c>
    </row>
    <row r="170" spans="3:7" x14ac:dyDescent="0.25">
      <c r="C170" s="1" t="s">
        <v>75</v>
      </c>
      <c r="E170" s="24" t="s">
        <v>75</v>
      </c>
      <c r="F170" s="125">
        <v>410094</v>
      </c>
      <c r="G170" s="168">
        <f>INDEX(data!$A$3:$WXA$1002,MATCH(Selected_County,data!$A$3:$A$1002,),MATCH($C170,data!$A$3:$WXA$3,))</f>
        <v>2838</v>
      </c>
    </row>
    <row r="171" spans="3:7" x14ac:dyDescent="0.25">
      <c r="C171" s="1" t="s">
        <v>74</v>
      </c>
      <c r="E171" s="24" t="s">
        <v>74</v>
      </c>
      <c r="F171" s="125">
        <v>307275</v>
      </c>
      <c r="G171" s="168">
        <f>INDEX(data!$A$3:$WXA$1002,MATCH(Selected_County,data!$A$3:$A$1002,),MATCH($C171,data!$A$3:$WXA$3,))</f>
        <v>2018</v>
      </c>
    </row>
    <row r="172" spans="3:7" x14ac:dyDescent="0.25">
      <c r="C172" s="1" t="s">
        <v>73</v>
      </c>
      <c r="E172" s="24" t="s">
        <v>73</v>
      </c>
      <c r="F172" s="125">
        <v>300884</v>
      </c>
      <c r="G172" s="168">
        <f>INDEX(data!$A$3:$WXA$1002,MATCH(Selected_County,data!$A$3:$A$1002,),MATCH($C172,data!$A$3:$WXA$3,))</f>
        <v>1170</v>
      </c>
    </row>
    <row r="173" spans="3:7" x14ac:dyDescent="0.25">
      <c r="C173" s="1" t="s">
        <v>72</v>
      </c>
      <c r="E173" s="28" t="s">
        <v>72</v>
      </c>
      <c r="F173" s="120">
        <v>7.0973492828292323E-2</v>
      </c>
      <c r="G173" s="177">
        <f>INDEX(data!$A$3:$WXA$1002,MATCH(Selected_County,data!$A$3:$A$1002,),MATCH($C173,data!$A$3:$WXA$3,))</f>
        <v>0.11421431721299427</v>
      </c>
    </row>
    <row r="174" spans="3:7" x14ac:dyDescent="0.25">
      <c r="C174" s="1" t="s">
        <v>71</v>
      </c>
      <c r="E174" s="28" t="s">
        <v>71</v>
      </c>
      <c r="F174" s="120">
        <v>0.37415867808106068</v>
      </c>
      <c r="G174" s="177">
        <f>INDEX(data!$A$3:$WXA$1002,MATCH(Selected_County,data!$A$3:$A$1002,),MATCH($C174,data!$A$3:$WXA$3,))</f>
        <v>0.41716889607526092</v>
      </c>
    </row>
    <row r="175" spans="3:7" ht="15.75" thickBot="1" x14ac:dyDescent="0.3">
      <c r="C175" s="1" t="s">
        <v>70</v>
      </c>
      <c r="E175" s="36" t="s">
        <v>70</v>
      </c>
      <c r="F175" s="121">
        <v>0.55486782909064702</v>
      </c>
      <c r="G175" s="178">
        <f>INDEX(data!$A$3:$WXA$1002,MATCH(Selected_County,data!$A$3:$A$1002,),MATCH($C175,data!$A$3:$WXA$3,))</f>
        <v>0.46861678671174484</v>
      </c>
    </row>
    <row r="176" spans="3:7" ht="15.75" thickBot="1" x14ac:dyDescent="0.3">
      <c r="E176" s="29" t="s">
        <v>338</v>
      </c>
      <c r="F176" s="34"/>
      <c r="G176" s="172"/>
    </row>
    <row r="177" spans="3:7" x14ac:dyDescent="0.25">
      <c r="E177" s="31"/>
      <c r="F177" s="32"/>
      <c r="G177" s="68"/>
    </row>
    <row r="178" spans="3:7" ht="15.75" thickBot="1" x14ac:dyDescent="0.3">
      <c r="E178" s="31"/>
      <c r="F178" s="32"/>
      <c r="G178" s="68"/>
    </row>
    <row r="179" spans="3:7" ht="33" customHeight="1" thickBot="1" x14ac:dyDescent="0.3">
      <c r="E179" s="20" t="s">
        <v>69</v>
      </c>
      <c r="F179" s="21" t="s">
        <v>14</v>
      </c>
      <c r="G179" s="22" t="str">
        <f>Selected_County&amp;" County"</f>
        <v>Adams County</v>
      </c>
    </row>
    <row r="180" spans="3:7" s="9" customFormat="1" x14ac:dyDescent="0.25">
      <c r="C180" s="9" t="s">
        <v>68</v>
      </c>
      <c r="E180" s="23" t="s">
        <v>68</v>
      </c>
      <c r="F180" s="132">
        <v>704634</v>
      </c>
      <c r="G180" s="164">
        <f>INDEX(data!$A$3:$WXA$1002,MATCH(Selected_County,data!$A$3:$A$1002,),MATCH($C180,data!$A$3:$WXA$3,))</f>
        <v>4285</v>
      </c>
    </row>
    <row r="181" spans="3:7" x14ac:dyDescent="0.25">
      <c r="C181" s="1" t="s">
        <v>67</v>
      </c>
      <c r="E181" s="24" t="s">
        <v>67</v>
      </c>
      <c r="F181" s="125">
        <v>62109</v>
      </c>
      <c r="G181" s="168">
        <f>INDEX(data!$A$3:$WXA$1002,MATCH(Selected_County,data!$A$3:$A$1002,),MATCH($C181,data!$A$3:$WXA$3,))</f>
        <v>392</v>
      </c>
    </row>
    <row r="182" spans="3:7" x14ac:dyDescent="0.25">
      <c r="C182" s="1" t="s">
        <v>66</v>
      </c>
      <c r="E182" s="28" t="s">
        <v>66</v>
      </c>
      <c r="F182" s="120">
        <v>8.8143632013215373E-2</v>
      </c>
      <c r="G182" s="177">
        <f>INDEX(data!$A$3:$WXA$1002,MATCH(Selected_County,data!$A$3:$A$1002,),MATCH($C182,data!$A$3:$WXA$3,))</f>
        <v>9.1481913652275385E-2</v>
      </c>
    </row>
    <row r="183" spans="3:7" x14ac:dyDescent="0.25">
      <c r="C183" s="1" t="s">
        <v>65</v>
      </c>
      <c r="E183" s="24" t="s">
        <v>65</v>
      </c>
      <c r="F183" s="125">
        <v>129765</v>
      </c>
      <c r="G183" s="168">
        <f>INDEX(data!$A$3:$WXA$1002,MATCH(Selected_County,data!$A$3:$A$1002,),MATCH($C183,data!$A$3:$WXA$3,))</f>
        <v>835</v>
      </c>
    </row>
    <row r="184" spans="3:7" x14ac:dyDescent="0.25">
      <c r="C184" s="1" t="s">
        <v>64</v>
      </c>
      <c r="E184" s="28" t="s">
        <v>64</v>
      </c>
      <c r="F184" s="120">
        <v>0.18415943596249967</v>
      </c>
      <c r="G184" s="177">
        <f>INDEX(data!$A$3:$WXA$1002,MATCH(Selected_County,data!$A$3:$A$1002,),MATCH($C184,data!$A$3:$WXA$3,))</f>
        <v>0.19486581096849476</v>
      </c>
    </row>
    <row r="185" spans="3:7" x14ac:dyDescent="0.25">
      <c r="C185" s="1" t="s">
        <v>63</v>
      </c>
      <c r="E185" s="24" t="s">
        <v>63</v>
      </c>
      <c r="F185" s="125">
        <v>215008</v>
      </c>
      <c r="G185" s="168">
        <f>INDEX(data!$A$3:$WXA$1002,MATCH(Selected_County,data!$A$3:$A$1002,),MATCH($C185,data!$A$3:$WXA$3,))</f>
        <v>1531</v>
      </c>
    </row>
    <row r="186" spans="3:7" x14ac:dyDescent="0.25">
      <c r="C186" s="1" t="s">
        <v>62</v>
      </c>
      <c r="E186" s="28" t="s">
        <v>62</v>
      </c>
      <c r="F186" s="120">
        <v>0.30513429667032815</v>
      </c>
      <c r="G186" s="177">
        <f>INDEX(data!$A$3:$WXA$1002,MATCH(Selected_County,data!$A$3:$A$1002,),MATCH($C186,data!$A$3:$WXA$3,))</f>
        <v>0.35729288214702448</v>
      </c>
    </row>
    <row r="187" spans="3:7" x14ac:dyDescent="0.25">
      <c r="C187" s="1" t="s">
        <v>61</v>
      </c>
      <c r="E187" s="24" t="s">
        <v>61</v>
      </c>
      <c r="F187" s="125">
        <v>309613</v>
      </c>
      <c r="G187" s="168">
        <f>INDEX(data!$A$3:$WXA$1002,MATCH(Selected_County,data!$A$3:$A$1002,),MATCH($C187,data!$A$3:$WXA$3,))</f>
        <v>2315</v>
      </c>
    </row>
    <row r="188" spans="3:7" x14ac:dyDescent="0.25">
      <c r="C188" s="1" t="s">
        <v>60</v>
      </c>
      <c r="E188" s="28" t="s">
        <v>60</v>
      </c>
      <c r="F188" s="120">
        <v>0.43939548758646335</v>
      </c>
      <c r="G188" s="177">
        <f>INDEX(data!$A$3:$WXA$1002,MATCH(Selected_County,data!$A$3:$A$1002,),MATCH($C188,data!$A$3:$WXA$3,))</f>
        <v>0.54025670945157522</v>
      </c>
    </row>
    <row r="189" spans="3:7" x14ac:dyDescent="0.25">
      <c r="C189" s="1" t="s">
        <v>59</v>
      </c>
      <c r="E189" s="24" t="s">
        <v>59</v>
      </c>
      <c r="F189" s="125">
        <v>454481</v>
      </c>
      <c r="G189" s="168">
        <f>INDEX(data!$A$3:$WXA$1002,MATCH(Selected_County,data!$A$3:$A$1002,),MATCH($C189,data!$A$3:$WXA$3,))</f>
        <v>3163</v>
      </c>
    </row>
    <row r="190" spans="3:7" x14ac:dyDescent="0.25">
      <c r="C190" s="1" t="s">
        <v>58</v>
      </c>
      <c r="E190" s="28" t="s">
        <v>58</v>
      </c>
      <c r="F190" s="120">
        <v>0.64498874593051148</v>
      </c>
      <c r="G190" s="177">
        <f>INDEX(data!$A$3:$WXA$1002,MATCH(Selected_County,data!$A$3:$A$1002,),MATCH($C190,data!$A$3:$WXA$3,))</f>
        <v>0.73815635939323221</v>
      </c>
    </row>
    <row r="191" spans="3:7" x14ac:dyDescent="0.25">
      <c r="C191" s="1" t="s">
        <v>57</v>
      </c>
      <c r="E191" s="24" t="s">
        <v>57</v>
      </c>
      <c r="F191" s="125">
        <v>546311</v>
      </c>
      <c r="G191" s="168">
        <f>INDEX(data!$A$3:$WXA$1002,MATCH(Selected_County,data!$A$3:$A$1002,),MATCH($C191,data!$A$3:$WXA$3,))</f>
        <v>3658</v>
      </c>
    </row>
    <row r="192" spans="3:7" ht="15.75" thickBot="1" x14ac:dyDescent="0.3">
      <c r="C192" s="1" t="s">
        <v>56</v>
      </c>
      <c r="E192" s="36" t="s">
        <v>56</v>
      </c>
      <c r="F192" s="121">
        <v>0.77531172211389177</v>
      </c>
      <c r="G192" s="178">
        <f>INDEX(data!$A$3:$WXA$1002,MATCH(Selected_County,data!$A$3:$A$1002,),MATCH($C192,data!$A$3:$WXA$3,))</f>
        <v>0.85367561260210034</v>
      </c>
    </row>
    <row r="193" spans="3:7" ht="15.75" thickBot="1" x14ac:dyDescent="0.3">
      <c r="E193" s="29" t="s">
        <v>339</v>
      </c>
      <c r="F193" s="34"/>
      <c r="G193" s="172"/>
    </row>
    <row r="194" spans="3:7" x14ac:dyDescent="0.25">
      <c r="E194" s="31"/>
      <c r="F194" s="32"/>
      <c r="G194" s="68"/>
    </row>
    <row r="195" spans="3:7" ht="15.75" thickBot="1" x14ac:dyDescent="0.3">
      <c r="E195" s="31"/>
      <c r="F195" s="32"/>
      <c r="G195" s="68"/>
    </row>
    <row r="196" spans="3:7" ht="33" customHeight="1" thickBot="1" x14ac:dyDescent="0.3">
      <c r="E196" s="20" t="s">
        <v>55</v>
      </c>
      <c r="F196" s="21" t="s">
        <v>14</v>
      </c>
      <c r="G196" s="22" t="str">
        <f>Selected_County&amp;" County"</f>
        <v>Adams County</v>
      </c>
    </row>
    <row r="197" spans="3:7" x14ac:dyDescent="0.25">
      <c r="C197" s="1" t="s">
        <v>54</v>
      </c>
      <c r="E197" s="27" t="s">
        <v>54</v>
      </c>
      <c r="F197" s="135">
        <v>77485</v>
      </c>
      <c r="G197" s="189">
        <f>INDEX(data!$A$3:$WXA$1002,MATCH(Selected_County,data!$A$3:$A$1002,),MATCH($C197,data!$A$3:$WXA$3,))</f>
        <v>59442</v>
      </c>
    </row>
    <row r="198" spans="3:7" x14ac:dyDescent="0.25">
      <c r="C198" s="1" t="s">
        <v>53</v>
      </c>
      <c r="E198" s="24" t="s">
        <v>53</v>
      </c>
      <c r="F198" s="136">
        <v>45850</v>
      </c>
      <c r="G198" s="190">
        <f>INDEX(data!$A$3:$WXA$1002,MATCH(Selected_County,data!$A$3:$A$1002,),MATCH($C198,data!$A$3:$WXA$3,))</f>
        <v>67500</v>
      </c>
    </row>
    <row r="199" spans="3:7" x14ac:dyDescent="0.25">
      <c r="C199" s="1" t="s">
        <v>52</v>
      </c>
      <c r="E199" s="24" t="s">
        <v>52</v>
      </c>
      <c r="F199" s="136">
        <v>90128</v>
      </c>
      <c r="G199" s="191">
        <f>INDEX(data!$A$3:$WXA$1002,MATCH(Selected_County,data!$A$3:$A$1002,),MATCH($C199,data!$A$3:$WXA$3,))</f>
        <v>69730</v>
      </c>
    </row>
    <row r="200" spans="3:7" x14ac:dyDescent="0.25">
      <c r="C200" s="1" t="s">
        <v>51</v>
      </c>
      <c r="E200" s="24" t="s">
        <v>51</v>
      </c>
      <c r="F200" s="136">
        <v>94903</v>
      </c>
      <c r="G200" s="191">
        <f>INDEX(data!$A$3:$WXA$1002,MATCH(Selected_County,data!$A$3:$A$1002,),MATCH($C200,data!$A$3:$WXA$3,))</f>
        <v>80799</v>
      </c>
    </row>
    <row r="201" spans="3:7" ht="15.75" thickBot="1" x14ac:dyDescent="0.3">
      <c r="C201" s="1" t="s">
        <v>50</v>
      </c>
      <c r="E201" s="46" t="s">
        <v>50</v>
      </c>
      <c r="F201" s="137">
        <v>56488</v>
      </c>
      <c r="G201" s="192">
        <f>INDEX(data!$A$3:$WXA$1002,MATCH(Selected_County,data!$A$3:$A$1002,),MATCH($C201,data!$A$3:$WXA$3,))</f>
        <v>47002</v>
      </c>
    </row>
    <row r="202" spans="3:7" ht="15.75" thickBot="1" x14ac:dyDescent="0.3">
      <c r="E202" s="29" t="s">
        <v>340</v>
      </c>
      <c r="F202" s="30"/>
      <c r="G202" s="170"/>
    </row>
    <row r="203" spans="3:7" x14ac:dyDescent="0.25">
      <c r="E203" s="31"/>
      <c r="F203" s="32"/>
      <c r="G203" s="68"/>
    </row>
    <row r="204" spans="3:7" ht="15.75" thickBot="1" x14ac:dyDescent="0.3">
      <c r="E204" s="31"/>
      <c r="F204" s="32"/>
      <c r="G204" s="68"/>
    </row>
    <row r="205" spans="3:7" ht="33" customHeight="1" thickBot="1" x14ac:dyDescent="0.3">
      <c r="E205" s="20" t="s">
        <v>324</v>
      </c>
      <c r="F205" s="21" t="s">
        <v>14</v>
      </c>
      <c r="G205" s="22" t="str">
        <f>Selected_County&amp;" County"</f>
        <v>Adams County</v>
      </c>
    </row>
    <row r="206" spans="3:7" s="9" customFormat="1" x14ac:dyDescent="0.25">
      <c r="C206" s="9" t="s">
        <v>318</v>
      </c>
      <c r="E206" s="23" t="s">
        <v>49</v>
      </c>
      <c r="F206" s="132">
        <v>501270</v>
      </c>
      <c r="G206" s="164">
        <f>INDEX(data!$A$3:$WXA$1002,MATCH(Selected_County,data!$A$3:$A$1002,),MATCH($C206,data!$A$3:$WXA$3,))</f>
        <v>3519</v>
      </c>
    </row>
    <row r="207" spans="3:7" x14ac:dyDescent="0.25">
      <c r="C207" s="1" t="s">
        <v>48</v>
      </c>
      <c r="E207" s="24" t="s">
        <v>48</v>
      </c>
      <c r="F207" s="125">
        <v>37828</v>
      </c>
      <c r="G207" s="174">
        <f>INDEX(data!$A$3:$WXA$1002,MATCH(Selected_County,data!$A$3:$A$1002,),MATCH($C207,data!$A$3:$WXA$3,))</f>
        <v>311</v>
      </c>
    </row>
    <row r="208" spans="3:7" x14ac:dyDescent="0.25">
      <c r="C208" s="1" t="s">
        <v>47</v>
      </c>
      <c r="E208" s="28" t="s">
        <v>47</v>
      </c>
      <c r="F208" s="120">
        <v>7.5464320625610953E-2</v>
      </c>
      <c r="G208" s="177">
        <f>INDEX(data!$A$3:$WXA$1002,MATCH(Selected_County,data!$A$3:$A$1002,),MATCH($C208,data!$A$3:$WXA$3,))</f>
        <v>8.8377379937482237E-2</v>
      </c>
    </row>
    <row r="209" spans="3:7" s="9" customFormat="1" x14ac:dyDescent="0.25">
      <c r="C209" s="9" t="s">
        <v>319</v>
      </c>
      <c r="E209" s="42" t="s">
        <v>46</v>
      </c>
      <c r="F209" s="128">
        <v>568121</v>
      </c>
      <c r="G209" s="193">
        <f>INDEX(data!$A$3:$WXA$1002,MATCH(Selected_County,data!$A$3:$A$1002,),MATCH($C209,data!$A$3:$WXA$3,))</f>
        <v>3241</v>
      </c>
    </row>
    <row r="210" spans="3:7" x14ac:dyDescent="0.25">
      <c r="C210" s="1" t="s">
        <v>45</v>
      </c>
      <c r="E210" s="24" t="s">
        <v>45</v>
      </c>
      <c r="F210" s="125">
        <v>59402</v>
      </c>
      <c r="G210" s="174">
        <f>INDEX(data!$A$3:$WXA$1002,MATCH(Selected_County,data!$A$3:$A$1002,),MATCH($C210,data!$A$3:$WXA$3,))</f>
        <v>534</v>
      </c>
    </row>
    <row r="211" spans="3:7" x14ac:dyDescent="0.25">
      <c r="C211" s="1" t="s">
        <v>44</v>
      </c>
      <c r="E211" s="28" t="s">
        <v>44</v>
      </c>
      <c r="F211" s="120">
        <v>0.10455871196452868</v>
      </c>
      <c r="G211" s="177">
        <f>INDEX(data!$A$3:$WXA$1002,MATCH(Selected_County,data!$A$3:$A$1002,),MATCH($C211,data!$A$3:$WXA$3,))</f>
        <v>0.16476396174020363</v>
      </c>
    </row>
    <row r="212" spans="3:7" s="9" customFormat="1" x14ac:dyDescent="0.25">
      <c r="C212" s="9" t="s">
        <v>320</v>
      </c>
      <c r="E212" s="42" t="s">
        <v>43</v>
      </c>
      <c r="F212" s="128">
        <v>1069391</v>
      </c>
      <c r="G212" s="193">
        <f>INDEX(data!$A$3:$WXA$1002,MATCH(Selected_County,data!$A$3:$A$1002,),MATCH($C212,data!$A$3:$WXA$3,))</f>
        <v>6760</v>
      </c>
    </row>
    <row r="213" spans="3:7" x14ac:dyDescent="0.25">
      <c r="C213" s="1" t="s">
        <v>42</v>
      </c>
      <c r="E213" s="24" t="s">
        <v>42</v>
      </c>
      <c r="F213" s="125">
        <v>97230</v>
      </c>
      <c r="G213" s="168">
        <f>INDEX(data!$A$3:$WXA$1002,MATCH(Selected_County,data!$A$3:$A$1002,),MATCH($C213,data!$A$3:$WXA$3,))</f>
        <v>845</v>
      </c>
    </row>
    <row r="214" spans="3:7" ht="15.75" thickBot="1" x14ac:dyDescent="0.3">
      <c r="C214" s="1" t="s">
        <v>41</v>
      </c>
      <c r="E214" s="36" t="s">
        <v>41</v>
      </c>
      <c r="F214" s="121">
        <v>9.092090732014764E-2</v>
      </c>
      <c r="G214" s="178">
        <f>INDEX(data!$A$3:$WXA$1002,MATCH(Selected_County,data!$A$3:$A$1002,),MATCH($C214,data!$A$3:$WXA$3,))</f>
        <v>0.125</v>
      </c>
    </row>
    <row r="215" spans="3:7" ht="15.75" thickBot="1" x14ac:dyDescent="0.3">
      <c r="E215" s="47" t="s">
        <v>323</v>
      </c>
      <c r="F215" s="30"/>
      <c r="G215" s="170"/>
    </row>
    <row r="216" spans="3:7" ht="15.75" thickBot="1" x14ac:dyDescent="0.3">
      <c r="E216" s="201" t="s">
        <v>341</v>
      </c>
      <c r="F216" s="202"/>
      <c r="G216" s="203"/>
    </row>
    <row r="217" spans="3:7" x14ac:dyDescent="0.25">
      <c r="E217" s="31"/>
      <c r="F217" s="32"/>
      <c r="G217" s="68"/>
    </row>
    <row r="218" spans="3:7" ht="15.75" thickBot="1" x14ac:dyDescent="0.3">
      <c r="E218" s="31"/>
      <c r="F218" s="32"/>
      <c r="G218" s="68"/>
    </row>
    <row r="219" spans="3:7" ht="33" customHeight="1" thickBot="1" x14ac:dyDescent="0.3">
      <c r="E219" s="20" t="s">
        <v>288</v>
      </c>
      <c r="F219" s="21" t="s">
        <v>14</v>
      </c>
      <c r="G219" s="22" t="str">
        <f>Selected_County&amp;" County"</f>
        <v>Adams County</v>
      </c>
    </row>
    <row r="220" spans="3:7" s="9" customFormat="1" x14ac:dyDescent="0.25">
      <c r="C220" s="9" t="s">
        <v>40</v>
      </c>
      <c r="E220" s="23" t="s">
        <v>308</v>
      </c>
      <c r="F220" s="132">
        <v>1069391</v>
      </c>
      <c r="G220" s="164">
        <f>INDEX(data!$A$3:$WXA$1002,MATCH(Selected_County,data!$A$3:$A$1002,),MATCH($C220,data!$A$3:$WXA$3,))</f>
        <v>6760</v>
      </c>
    </row>
    <row r="221" spans="3:7" x14ac:dyDescent="0.25">
      <c r="C221" s="1" t="s">
        <v>39</v>
      </c>
      <c r="E221" s="48" t="s">
        <v>39</v>
      </c>
      <c r="F221" s="130">
        <v>97230</v>
      </c>
      <c r="G221" s="194">
        <f>INDEX(data!$A$3:$WXA$1002,MATCH(Selected_County,data!$A$3:$A$1002,),MATCH($C221,data!$A$3:$WXA$3,))</f>
        <v>845</v>
      </c>
    </row>
    <row r="222" spans="3:7" ht="15.75" thickBot="1" x14ac:dyDescent="0.3">
      <c r="C222" s="1" t="s">
        <v>38</v>
      </c>
      <c r="E222" s="49" t="s">
        <v>38</v>
      </c>
      <c r="F222" s="122">
        <v>9.092090732014764E-2</v>
      </c>
      <c r="G222" s="185">
        <f>INDEX(data!$A$3:$WXA$1002,MATCH(Selected_County,data!$A$3:$A$1002,),MATCH($C222,data!$A$3:$WXA$3,))</f>
        <v>0.125</v>
      </c>
    </row>
    <row r="223" spans="3:7" x14ac:dyDescent="0.25">
      <c r="C223" s="1" t="s">
        <v>37</v>
      </c>
      <c r="E223" s="27" t="s">
        <v>37</v>
      </c>
      <c r="F223" s="127">
        <v>170118</v>
      </c>
      <c r="G223" s="165">
        <f>INDEX(data!$A$3:$WXA$1002,MATCH(Selected_County,data!$A$3:$A$1002,),MATCH($C223,data!$A$3:$WXA$3,))</f>
        <v>1442</v>
      </c>
    </row>
    <row r="224" spans="3:7" x14ac:dyDescent="0.25">
      <c r="C224" s="1" t="s">
        <v>36</v>
      </c>
      <c r="E224" s="28" t="s">
        <v>36</v>
      </c>
      <c r="F224" s="120">
        <v>0.15907932645776895</v>
      </c>
      <c r="G224" s="177">
        <f>INDEX(data!$A$3:$WXA$1002,MATCH(Selected_County,data!$A$3:$A$1002,),MATCH($C224,data!$A$3:$WXA$3,))</f>
        <v>0.21331360946745562</v>
      </c>
    </row>
    <row r="225" spans="3:8" x14ac:dyDescent="0.25">
      <c r="C225" s="1" t="s">
        <v>35</v>
      </c>
      <c r="E225" s="24" t="s">
        <v>35</v>
      </c>
      <c r="F225" s="125">
        <v>234788</v>
      </c>
      <c r="G225" s="168">
        <f>INDEX(data!$A$3:$WXA$1002,MATCH(Selected_County,data!$A$3:$A$1002,),MATCH($C225,data!$A$3:$WXA$3,))</f>
        <v>1873</v>
      </c>
    </row>
    <row r="226" spans="3:8" x14ac:dyDescent="0.25">
      <c r="C226" s="1" t="s">
        <v>34</v>
      </c>
      <c r="E226" s="28" t="s">
        <v>34</v>
      </c>
      <c r="F226" s="120">
        <v>0.21955299792124677</v>
      </c>
      <c r="G226" s="177">
        <f>INDEX(data!$A$3:$WXA$1002,MATCH(Selected_County,data!$A$3:$A$1002,),MATCH($C226,data!$A$3:$WXA$3,))</f>
        <v>0.27707100591715977</v>
      </c>
    </row>
    <row r="227" spans="3:8" x14ac:dyDescent="0.25">
      <c r="C227" s="1" t="s">
        <v>33</v>
      </c>
      <c r="E227" s="24" t="s">
        <v>33</v>
      </c>
      <c r="F227" s="125">
        <v>271979</v>
      </c>
      <c r="G227" s="168">
        <f>INDEX(data!$A$3:$WXA$1002,MATCH(Selected_County,data!$A$3:$A$1002,),MATCH($C227,data!$A$3:$WXA$3,))</f>
        <v>2380</v>
      </c>
    </row>
    <row r="228" spans="3:8" x14ac:dyDescent="0.25">
      <c r="C228" s="1" t="s">
        <v>32</v>
      </c>
      <c r="E228" s="28" t="s">
        <v>32</v>
      </c>
      <c r="F228" s="120">
        <v>0.25433073590482808</v>
      </c>
      <c r="G228" s="177">
        <f>INDEX(data!$A$3:$WXA$1002,MATCH(Selected_County,data!$A$3:$A$1002,),MATCH($C228,data!$A$3:$WXA$3,))</f>
        <v>0.35207100591715978</v>
      </c>
    </row>
    <row r="229" spans="3:8" x14ac:dyDescent="0.25">
      <c r="C229" s="1" t="s">
        <v>31</v>
      </c>
      <c r="E229" s="48" t="s">
        <v>31</v>
      </c>
      <c r="F229" s="130">
        <v>461898</v>
      </c>
      <c r="G229" s="194">
        <f>INDEX(data!$A$3:$WXA$1002,MATCH(Selected_County,data!$A$3:$A$1002,),MATCH($C229,data!$A$3:$WXA$3,))</f>
        <v>3744</v>
      </c>
    </row>
    <row r="230" spans="3:8" ht="15.75" thickBot="1" x14ac:dyDescent="0.3">
      <c r="C230" s="1" t="s">
        <v>30</v>
      </c>
      <c r="E230" s="49" t="s">
        <v>30</v>
      </c>
      <c r="F230" s="122">
        <v>0.43192620846818425</v>
      </c>
      <c r="G230" s="185">
        <f>INDEX(data!$A$3:$WXA$1002,MATCH(Selected_County,data!$A$3:$A$1002,),MATCH($C230,data!$A$3:$WXA$3,))</f>
        <v>0.55384615384615388</v>
      </c>
    </row>
    <row r="231" spans="3:8" ht="15.75" thickBot="1" x14ac:dyDescent="0.3">
      <c r="E231" s="47" t="s">
        <v>323</v>
      </c>
      <c r="F231" s="30"/>
      <c r="G231" s="170"/>
    </row>
    <row r="232" spans="3:8" ht="15.75" thickBot="1" x14ac:dyDescent="0.3">
      <c r="E232" s="201" t="s">
        <v>342</v>
      </c>
      <c r="F232" s="202"/>
      <c r="G232" s="203"/>
    </row>
    <row r="233" spans="3:8" x14ac:dyDescent="0.25">
      <c r="E233" s="31"/>
      <c r="F233" s="32"/>
      <c r="G233" s="68"/>
    </row>
    <row r="234" spans="3:8" ht="15.75" thickBot="1" x14ac:dyDescent="0.3">
      <c r="E234" s="31"/>
      <c r="F234" s="32"/>
      <c r="G234" s="68"/>
    </row>
    <row r="235" spans="3:8" ht="34.5" customHeight="1" thickBot="1" x14ac:dyDescent="0.3">
      <c r="E235" s="20" t="s">
        <v>29</v>
      </c>
      <c r="F235" s="21" t="s">
        <v>14</v>
      </c>
      <c r="G235" s="22" t="str">
        <f>Selected_County&amp;" County"</f>
        <v>Adams County</v>
      </c>
    </row>
    <row r="236" spans="3:8" ht="15.75" thickBot="1" x14ac:dyDescent="0.3">
      <c r="E236" s="39" t="s">
        <v>28</v>
      </c>
      <c r="F236" s="138"/>
      <c r="G236" s="195"/>
      <c r="H236" s="19"/>
    </row>
    <row r="237" spans="3:8" x14ac:dyDescent="0.25">
      <c r="C237" s="1" t="s">
        <v>27</v>
      </c>
      <c r="E237" s="27" t="s">
        <v>27</v>
      </c>
      <c r="F237" s="127">
        <v>85607</v>
      </c>
      <c r="G237" s="165">
        <f>INDEX(data!$A$3:$WXA$1002,MATCH(Selected_County,data!$A$3:$A$1002,),MATCH($C237,data!$A$3:$WXA$3,))</f>
        <v>362</v>
      </c>
    </row>
    <row r="238" spans="3:8" x14ac:dyDescent="0.25">
      <c r="C238" s="1" t="s">
        <v>294</v>
      </c>
      <c r="E238" s="28" t="s">
        <v>294</v>
      </c>
      <c r="F238" s="120">
        <v>0.26448198518280513</v>
      </c>
      <c r="G238" s="177">
        <f>INDEX(data!$A$3:$WXA$1002,MATCH(Selected_County,data!$A$3:$A$1002,),MATCH($C238,data!$A$3:$WXA$3,))</f>
        <v>0.16153502900490851</v>
      </c>
    </row>
    <row r="239" spans="3:8" x14ac:dyDescent="0.25">
      <c r="C239" s="1" t="s">
        <v>26</v>
      </c>
      <c r="E239" s="24" t="s">
        <v>26</v>
      </c>
      <c r="F239" s="125">
        <v>1872</v>
      </c>
      <c r="G239" s="168">
        <f>INDEX(data!$A$3:$WXA$1002,MATCH(Selected_County,data!$A$3:$A$1002,),MATCH($C239,data!$A$3:$WXA$3,))</f>
        <v>2</v>
      </c>
    </row>
    <row r="240" spans="3:8" x14ac:dyDescent="0.25">
      <c r="C240" s="1" t="s">
        <v>295</v>
      </c>
      <c r="E240" s="28" t="s">
        <v>295</v>
      </c>
      <c r="F240" s="120">
        <v>5.7835256026050582E-3</v>
      </c>
      <c r="G240" s="177">
        <f>INDEX(data!$A$3:$WXA$1002,MATCH(Selected_County,data!$A$3:$A$1002,),MATCH($C240,data!$A$3:$WXA$3,))</f>
        <v>8.9245872378402495E-4</v>
      </c>
    </row>
    <row r="241" spans="3:13" x14ac:dyDescent="0.25">
      <c r="C241" s="1" t="s">
        <v>25</v>
      </c>
      <c r="E241" s="24" t="s">
        <v>25</v>
      </c>
      <c r="F241" s="125">
        <v>15521</v>
      </c>
      <c r="G241" s="168">
        <f>INDEX(data!$A$3:$WXA$1002,MATCH(Selected_County,data!$A$3:$A$1002,),MATCH($C241,data!$A$3:$WXA$3,))</f>
        <v>72</v>
      </c>
    </row>
    <row r="242" spans="3:13" x14ac:dyDescent="0.25">
      <c r="C242" s="1" t="s">
        <v>299</v>
      </c>
      <c r="E242" s="25" t="s">
        <v>299</v>
      </c>
      <c r="F242" s="120">
        <v>8.2978257034253058E-2</v>
      </c>
      <c r="G242" s="177">
        <f>INDEX(data!$A$3:$WXA$1002,MATCH(Selected_County,data!$A$3:$A$1002,),MATCH($C242,data!$A$3:$WXA$3,))</f>
        <v>5.5813953488372092E-2</v>
      </c>
    </row>
    <row r="243" spans="3:13" x14ac:dyDescent="0.25">
      <c r="C243" s="1" t="s">
        <v>24</v>
      </c>
      <c r="E243" s="24" t="s">
        <v>24</v>
      </c>
      <c r="F243" s="139">
        <v>187</v>
      </c>
      <c r="G243" s="196">
        <f>INDEX(data!$A$3:$WXA$1002,MATCH(Selected_County,data!$A$3:$A$1002,),MATCH($C243,data!$A$3:$WXA$3,))</f>
        <v>1</v>
      </c>
    </row>
    <row r="244" spans="3:13" ht="15.75" thickBot="1" x14ac:dyDescent="0.3">
      <c r="C244" s="1" t="s">
        <v>296</v>
      </c>
      <c r="E244" s="36" t="s">
        <v>296</v>
      </c>
      <c r="F244" s="121">
        <v>9.9973803655726569E-4</v>
      </c>
      <c r="G244" s="178">
        <f>INDEX(data!$A$3:$WXA$1002,MATCH(Selected_County,data!$A$3:$A$1002,),MATCH($C244,data!$A$3:$WXA$3,))</f>
        <v>7.7519379844961239E-4</v>
      </c>
    </row>
    <row r="245" spans="3:13" ht="15.75" thickBot="1" x14ac:dyDescent="0.3">
      <c r="E245" s="39" t="s">
        <v>23</v>
      </c>
      <c r="F245" s="140"/>
      <c r="G245" s="197"/>
    </row>
    <row r="246" spans="3:13" x14ac:dyDescent="0.25">
      <c r="C246" s="1" t="s">
        <v>22</v>
      </c>
      <c r="E246" s="27" t="s">
        <v>22</v>
      </c>
      <c r="F246" s="127">
        <v>70927</v>
      </c>
      <c r="G246" s="165">
        <f>INDEX(data!$A$3:$WXA$1002,MATCH(Selected_County,data!$A$3:$A$1002,),MATCH($C246,data!$A$3:$WXA$3,))</f>
        <v>267</v>
      </c>
    </row>
    <row r="247" spans="3:13" x14ac:dyDescent="0.25">
      <c r="C247" s="1" t="s">
        <v>297</v>
      </c>
      <c r="E247" s="28" t="s">
        <v>297</v>
      </c>
      <c r="F247" s="120">
        <v>0.20985188735628102</v>
      </c>
      <c r="G247" s="177">
        <f>INDEX(data!$A$3:$WXA$1002,MATCH(Selected_County,data!$A$3:$A$1002,),MATCH($C247,data!$A$3:$WXA$3,))</f>
        <v>0.13573970513472292</v>
      </c>
    </row>
    <row r="248" spans="3:13" x14ac:dyDescent="0.25">
      <c r="C248" s="1" t="s">
        <v>21</v>
      </c>
      <c r="E248" s="24" t="s">
        <v>21</v>
      </c>
      <c r="F248" s="125">
        <v>1471</v>
      </c>
      <c r="G248" s="168">
        <f>INDEX(data!$A$3:$WXA$1002,MATCH(Selected_County,data!$A$3:$A$1002,),MATCH($C248,data!$A$3:$WXA$3,))</f>
        <v>3</v>
      </c>
    </row>
    <row r="249" spans="3:13" x14ac:dyDescent="0.25">
      <c r="C249" s="1" t="s">
        <v>298</v>
      </c>
      <c r="E249" s="28" t="s">
        <v>298</v>
      </c>
      <c r="F249" s="120">
        <v>4.3522512766800995E-3</v>
      </c>
      <c r="G249" s="177">
        <f>INDEX(data!$A$3:$WXA$1002,MATCH(Selected_County,data!$A$3:$A$1002,),MATCH($C249,data!$A$3:$WXA$3,))</f>
        <v>1.5251652262328419E-3</v>
      </c>
    </row>
    <row r="250" spans="3:13" x14ac:dyDescent="0.25">
      <c r="C250" s="1" t="s">
        <v>20</v>
      </c>
      <c r="E250" s="24" t="s">
        <v>20</v>
      </c>
      <c r="F250" s="125">
        <v>11118</v>
      </c>
      <c r="G250" s="168">
        <f>INDEX(data!$A$3:$WXA$1002,MATCH(Selected_County,data!$A$3:$A$1002,),MATCH($C250,data!$A$3:$WXA$3,))</f>
        <v>125</v>
      </c>
    </row>
    <row r="251" spans="3:13" x14ac:dyDescent="0.25">
      <c r="C251" s="1" t="s">
        <v>300</v>
      </c>
      <c r="E251" s="25" t="s">
        <v>300</v>
      </c>
      <c r="F251" s="120">
        <v>4.4952088303076863E-2</v>
      </c>
      <c r="G251" s="177">
        <f>INDEX(data!$A$3:$WXA$1002,MATCH(Selected_County,data!$A$3:$A$1002,),MATCH($C251,data!$A$3:$WXA$3,))</f>
        <v>9.5785440613026823E-2</v>
      </c>
    </row>
    <row r="252" spans="3:13" x14ac:dyDescent="0.25">
      <c r="C252" s="1" t="s">
        <v>19</v>
      </c>
      <c r="E252" s="24" t="s">
        <v>19</v>
      </c>
      <c r="F252" s="139">
        <v>313</v>
      </c>
      <c r="G252" s="196">
        <f>INDEX(data!$A$3:$WXA$1002,MATCH(Selected_County,data!$A$3:$A$1002,),MATCH($C252,data!$A$3:$WXA$3,))</f>
        <v>0</v>
      </c>
    </row>
    <row r="253" spans="3:13" ht="15.75" thickBot="1" x14ac:dyDescent="0.3">
      <c r="C253" s="1" t="s">
        <v>301</v>
      </c>
      <c r="E253" s="36" t="s">
        <v>301</v>
      </c>
      <c r="F253" s="121">
        <v>1.2655157077588646E-3</v>
      </c>
      <c r="G253" s="178">
        <f>INDEX(data!$A$3:$WXA$1002,MATCH(Selected_County,data!$A$3:$A$1002,),MATCH($C253,data!$A$3:$WXA$3,))</f>
        <v>0</v>
      </c>
    </row>
    <row r="254" spans="3:13" ht="15.75" thickBot="1" x14ac:dyDescent="0.3">
      <c r="E254" s="39" t="s">
        <v>18</v>
      </c>
      <c r="F254" s="141"/>
      <c r="G254" s="198"/>
      <c r="M254" s="1" t="s">
        <v>347</v>
      </c>
    </row>
    <row r="255" spans="3:13" x14ac:dyDescent="0.25">
      <c r="C255" s="1" t="s">
        <v>17</v>
      </c>
      <c r="E255" s="27" t="s">
        <v>17</v>
      </c>
      <c r="F255" s="127">
        <v>183173</v>
      </c>
      <c r="G255" s="165">
        <f>INDEX(data!$A$3:$WXA$1002,MATCH(Selected_County,data!$A$3:$A$1002,),MATCH($C255,data!$A$3:$WXA$3,))</f>
        <v>826</v>
      </c>
    </row>
    <row r="256" spans="3:13" x14ac:dyDescent="0.25">
      <c r="C256" s="1" t="s">
        <v>302</v>
      </c>
      <c r="E256" s="28" t="s">
        <v>302</v>
      </c>
      <c r="F256" s="120">
        <v>0.16712209283759852</v>
      </c>
      <c r="G256" s="177">
        <f>INDEX(data!$A$3:$WXA$1002,MATCH(Selected_County,data!$A$3:$A$1002,),MATCH($C256,data!$A$3:$WXA$3,))</f>
        <v>0.12141702190210202</v>
      </c>
    </row>
    <row r="257" spans="3:7" x14ac:dyDescent="0.25">
      <c r="C257" s="1" t="s">
        <v>16</v>
      </c>
      <c r="E257" s="24" t="s">
        <v>16</v>
      </c>
      <c r="F257" s="125">
        <v>3843</v>
      </c>
      <c r="G257" s="168">
        <f>INDEX(data!$A$3:$WXA$1002,MATCH(Selected_County,data!$A$3:$A$1002,),MATCH($C257,data!$A$3:$WXA$3,))</f>
        <v>6</v>
      </c>
    </row>
    <row r="258" spans="3:7" ht="15.75" thickBot="1" x14ac:dyDescent="0.3">
      <c r="C258" s="1" t="s">
        <v>303</v>
      </c>
      <c r="E258" s="36" t="s">
        <v>303</v>
      </c>
      <c r="F258" s="121">
        <v>3.5062492986132842E-3</v>
      </c>
      <c r="G258" s="178">
        <f>INDEX(data!$A$3:$WXA$1002,MATCH(Selected_County,data!$A$3:$A$1002,),MATCH($C258,data!$A$3:$WXA$3,))</f>
        <v>8.8196383948258125E-4</v>
      </c>
    </row>
    <row r="259" spans="3:7" ht="15.75" thickBot="1" x14ac:dyDescent="0.3">
      <c r="E259" s="50" t="s">
        <v>321</v>
      </c>
      <c r="F259" s="51"/>
      <c r="G259" s="199"/>
    </row>
    <row r="260" spans="3:7" ht="15.75" thickBot="1" x14ac:dyDescent="0.3">
      <c r="E260" s="201" t="s">
        <v>343</v>
      </c>
      <c r="F260" s="202"/>
      <c r="G260" s="203"/>
    </row>
    <row r="261" spans="3:7" ht="15.75" thickBot="1" x14ac:dyDescent="0.3">
      <c r="E261" s="52"/>
      <c r="F261" s="32"/>
      <c r="G261" s="68"/>
    </row>
    <row r="262" spans="3:7" ht="36" customHeight="1" thickBot="1" x14ac:dyDescent="0.3">
      <c r="E262" s="20" t="s">
        <v>15</v>
      </c>
      <c r="F262" s="21" t="s">
        <v>14</v>
      </c>
      <c r="G262" s="22" t="str">
        <f>Selected_County&amp;" County"</f>
        <v>Adams County</v>
      </c>
    </row>
    <row r="263" spans="3:7" s="9" customFormat="1" ht="15.75" thickBot="1" x14ac:dyDescent="0.3">
      <c r="C263" s="9" t="s">
        <v>12</v>
      </c>
      <c r="E263" s="39" t="s">
        <v>12</v>
      </c>
      <c r="F263" s="126">
        <v>704634</v>
      </c>
      <c r="G263" s="176">
        <f>INDEX(data!$A$3:$WXA$1002,MATCH(Selected_County,data!$A$3:$A$1002,),MATCH($C263,data!$A$3:$WXA$3,))</f>
        <v>4285</v>
      </c>
    </row>
    <row r="264" spans="3:7" x14ac:dyDescent="0.25">
      <c r="C264" s="1" t="s">
        <v>11</v>
      </c>
      <c r="E264" s="53" t="s">
        <v>11</v>
      </c>
      <c r="F264" s="127">
        <v>158043</v>
      </c>
      <c r="G264" s="165">
        <f>INDEX(data!$A$3:$WXA$1002,MATCH(Selected_County,data!$A$3:$A$1002,),MATCH($C264,data!$A$3:$WXA$3,))</f>
        <v>333</v>
      </c>
    </row>
    <row r="265" spans="3:7" x14ac:dyDescent="0.25">
      <c r="C265" s="1" t="s">
        <v>10</v>
      </c>
      <c r="E265" s="25" t="s">
        <v>10</v>
      </c>
      <c r="F265" s="120">
        <v>0.22429090847163208</v>
      </c>
      <c r="G265" s="177">
        <f>INDEX(data!$A$3:$WXA$1002,MATCH(Selected_County,data!$A$3:$A$1002,),MATCH($C265,data!$A$3:$WXA$3,))</f>
        <v>7.7712952158693116E-2</v>
      </c>
    </row>
    <row r="266" spans="3:7" x14ac:dyDescent="0.25">
      <c r="C266" s="1" t="s">
        <v>9</v>
      </c>
      <c r="E266" s="54" t="s">
        <v>9</v>
      </c>
      <c r="F266" s="125">
        <v>56619</v>
      </c>
      <c r="G266" s="168">
        <f>INDEX(data!$A$3:$WXA$1002,MATCH(Selected_County,data!$A$3:$A$1002,),MATCH($C266,data!$A$3:$WXA$3,))</f>
        <v>104</v>
      </c>
    </row>
    <row r="267" spans="3:7" x14ac:dyDescent="0.25">
      <c r="C267" s="1" t="s">
        <v>8</v>
      </c>
      <c r="E267" s="55" t="s">
        <v>8</v>
      </c>
      <c r="F267" s="120">
        <v>0.35825060268407966</v>
      </c>
      <c r="G267" s="177">
        <f>INDEX(data!$A$3:$WXA$1002,MATCH(Selected_County,data!$A$3:$A$1002,),MATCH($C267,data!$A$3:$WXA$3,))</f>
        <v>0.31231231231231232</v>
      </c>
    </row>
    <row r="268" spans="3:7" x14ac:dyDescent="0.25">
      <c r="C268" s="1" t="s">
        <v>7</v>
      </c>
      <c r="E268" s="54" t="s">
        <v>7</v>
      </c>
      <c r="F268" s="125">
        <v>87122</v>
      </c>
      <c r="G268" s="168">
        <f>INDEX(data!$A$3:$WXA$1002,MATCH(Selected_County,data!$A$3:$A$1002,),MATCH($C268,data!$A$3:$WXA$3,))</f>
        <v>126</v>
      </c>
    </row>
    <row r="269" spans="3:7" ht="15.75" thickBot="1" x14ac:dyDescent="0.3">
      <c r="C269" s="1" t="s">
        <v>6</v>
      </c>
      <c r="E269" s="56" t="s">
        <v>6</v>
      </c>
      <c r="F269" s="121">
        <v>0.55125503818581023</v>
      </c>
      <c r="G269" s="178">
        <f>INDEX(data!$A$3:$WXA$1002,MATCH(Selected_County,data!$A$3:$A$1002,),MATCH($C269,data!$A$3:$WXA$3,))</f>
        <v>0.3783783783783784</v>
      </c>
    </row>
    <row r="270" spans="3:7" x14ac:dyDescent="0.25">
      <c r="C270" s="1" t="s">
        <v>5</v>
      </c>
      <c r="E270" s="57" t="s">
        <v>5</v>
      </c>
      <c r="F270" s="142">
        <v>546591</v>
      </c>
      <c r="G270" s="200">
        <f>INDEX(data!$A$3:$WXA$1002,MATCH(Selected_County,data!$A$3:$A$1002,),MATCH($C270,data!$A$3:$WXA$3,))</f>
        <v>3952</v>
      </c>
    </row>
    <row r="271" spans="3:7" x14ac:dyDescent="0.25">
      <c r="C271" s="1" t="s">
        <v>4</v>
      </c>
      <c r="E271" s="25" t="s">
        <v>4</v>
      </c>
      <c r="F271" s="120">
        <v>0.77570909152836787</v>
      </c>
      <c r="G271" s="177">
        <f>INDEX(data!$A$3:$WXA$1002,MATCH(Selected_County,data!$A$3:$A$1002,),MATCH($C271,data!$A$3:$WXA$3,))</f>
        <v>0.92228704784130688</v>
      </c>
    </row>
    <row r="272" spans="3:7" x14ac:dyDescent="0.25">
      <c r="C272" s="1" t="s">
        <v>3</v>
      </c>
      <c r="E272" s="58" t="s">
        <v>3</v>
      </c>
      <c r="F272" s="125">
        <v>413533</v>
      </c>
      <c r="G272" s="168">
        <f>INDEX(data!$A$3:$WXA$1002,MATCH(Selected_County,data!$A$3:$A$1002,),MATCH($C272,data!$A$3:$WXA$3,))</f>
        <v>2866</v>
      </c>
    </row>
    <row r="273" spans="3:7" x14ac:dyDescent="0.25">
      <c r="C273" s="1" t="s">
        <v>2</v>
      </c>
      <c r="E273" s="59" t="s">
        <v>2</v>
      </c>
      <c r="F273" s="120">
        <v>0.75656752489521417</v>
      </c>
      <c r="G273" s="177">
        <f>INDEX(data!$A$3:$WXA$1002,MATCH(Selected_County,data!$A$3:$A$1002,),MATCH($C273,data!$A$3:$WXA$3,))</f>
        <v>0.7252024291497976</v>
      </c>
    </row>
    <row r="274" spans="3:7" x14ac:dyDescent="0.25">
      <c r="C274" s="1" t="s">
        <v>1</v>
      </c>
      <c r="E274" s="58" t="s">
        <v>1</v>
      </c>
      <c r="F274" s="125">
        <v>128749</v>
      </c>
      <c r="G274" s="168">
        <f>INDEX(data!$A$3:$WXA$1002,MATCH(Selected_County,data!$A$3:$A$1002,),MATCH($C274,data!$A$3:$WXA$3,))</f>
        <v>1052</v>
      </c>
    </row>
    <row r="275" spans="3:7" ht="15.75" thickBot="1" x14ac:dyDescent="0.3">
      <c r="C275" s="1" t="s">
        <v>0</v>
      </c>
      <c r="E275" s="60" t="s">
        <v>0</v>
      </c>
      <c r="F275" s="121">
        <v>0.23554906685254606</v>
      </c>
      <c r="G275" s="178">
        <f>INDEX(data!$A$3:$WXA$1002,MATCH(Selected_County,data!$A$3:$A$1002,),MATCH($C275,data!$A$3:$WXA$3,))</f>
        <v>0.26619433198380565</v>
      </c>
    </row>
    <row r="276" spans="3:7" x14ac:dyDescent="0.25">
      <c r="E276" s="61" t="s">
        <v>329</v>
      </c>
      <c r="F276" s="62"/>
      <c r="G276" s="63"/>
    </row>
    <row r="277" spans="3:7" ht="15.75" thickBot="1" x14ac:dyDescent="0.3">
      <c r="E277" s="64" t="s">
        <v>344</v>
      </c>
      <c r="F277" s="65"/>
      <c r="G277" s="66"/>
    </row>
    <row r="278" spans="3:7" x14ac:dyDescent="0.25">
      <c r="E278" s="67"/>
      <c r="F278" s="68"/>
      <c r="G278" s="68"/>
    </row>
    <row r="279" spans="3:7" x14ac:dyDescent="0.25">
      <c r="E279" s="68" t="s">
        <v>349</v>
      </c>
      <c r="F279" s="68"/>
      <c r="G279" s="68"/>
    </row>
  </sheetData>
  <mergeCells count="6">
    <mergeCell ref="E260:G260"/>
    <mergeCell ref="E4:G4"/>
    <mergeCell ref="E3:G3"/>
    <mergeCell ref="E2:G2"/>
    <mergeCell ref="E216:G216"/>
    <mergeCell ref="E232:G232"/>
  </mergeCells>
  <pageMargins left="0.75" right="0.75" top="0.75" bottom="0.5" header="0.5" footer="0.5"/>
  <pageSetup scale="90" orientation="portrait" r:id="rId1"/>
  <headerFooter differentFirst="1">
    <oddFooter>&amp;C&amp;P</oddFooter>
  </headerFooter>
  <rowBreaks count="7" manualBreakCount="7">
    <brk id="41" min="4" max="6" man="1"/>
    <brk id="86" min="4" max="6" man="1"/>
    <brk id="112" min="4" max="6" man="1"/>
    <brk id="148" min="4" max="6" man="1"/>
    <brk id="177" min="4" max="6" man="1"/>
    <brk id="217" min="4" max="6" man="1"/>
    <brk id="260" min="4" max="6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>
                <anchor moveWithCells="1">
                  <from>
                    <xdr:col>5</xdr:col>
                    <xdr:colOff>619125</xdr:colOff>
                    <xdr:row>2</xdr:row>
                    <xdr:rowOff>85725</xdr:rowOff>
                  </from>
                  <to>
                    <xdr:col>6</xdr:col>
                    <xdr:colOff>628650</xdr:colOff>
                    <xdr:row>2</xdr:row>
                    <xdr:rowOff>285750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data</vt:lpstr>
      <vt:lpstr>County Profile, 2020-2024</vt:lpstr>
      <vt:lpstr>'County Profile, 2020-2024'!Print_Area</vt:lpstr>
      <vt:lpstr>'County Profile, 2020-2024'!Print_Titles</vt:lpstr>
      <vt:lpstr>Selected_County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2026-03-10T13:54:01Z</dcterms:modified>
</cp:coreProperties>
</file>